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Apps &amp; Market Data" sheetId="2" state="visible" r:id="rId4"/>
    <sheet name="Feature Matrix" sheetId="3" state="visible" r:id="rId5"/>
    <sheet name="Feature Gaps" sheetId="4" state="visible" r:id="rId6"/>
    <sheet name="Positionin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<sst xmlns="http://schemas.openxmlformats.org/spreadsheetml/2006/main" count="1234" uniqueCount="293">
  <si>
    <t xml:space="preserve">Habit Tracking &amp; Goal Setting Apps — Competitive Feature Matrix</t>
  </si>
  <si>
    <t xml:space="preserve">Purpose</t>
  </si>
  <si>
    <t xml:space="preserve">Market study to inform building a competing app</t>
  </si>
  <si>
    <t xml:space="preserve">Platform scope</t>
  </si>
  <si>
    <t xml:space="preserve">Apple App Store (iOS/iPadOS/watchOS/macOS)</t>
  </si>
  <si>
    <t xml:space="preserve">Ranking method</t>
  </si>
  <si>
    <t xml:space="preserve">App Store review count used as market-size proxy (higher = larger active base)</t>
  </si>
  <si>
    <t xml:space="preserve">Apps covered</t>
  </si>
  <si>
    <t xml:space="preserve">Top 10 apps by review volume capture the clear majority of the category</t>
  </si>
  <si>
    <t xml:space="preserve">Date compiled</t>
  </si>
  <si>
    <t xml:space="preserve">April 2026</t>
  </si>
  <si>
    <t xml:space="preserve">Sheet guide</t>
  </si>
  <si>
    <t xml:space="preserve">  Apps &amp; Market Data</t>
  </si>
  <si>
    <t xml:space="preserve">One row per app: developer, pricing, review count, rating, platforms</t>
  </si>
  <si>
    <t xml:space="preserve">  Feature Matrix</t>
  </si>
  <si>
    <t xml:space="preserve">Features as rows, apps as columns. Y / N / P (partial) / ? (unverified)</t>
  </si>
  <si>
    <t xml:space="preserve">  Feature Gaps</t>
  </si>
  <si>
    <t xml:space="preserve">Aggregated view — where the market is over- vs under-served</t>
  </si>
  <si>
    <t xml:space="preserve">  Positioning</t>
  </si>
  <si>
    <t xml:space="preserve">Segments &amp; archetypes to help identify whitespace</t>
  </si>
  <si>
    <t xml:space="preserve">Legend</t>
  </si>
  <si>
    <t xml:space="preserve">  Y</t>
  </si>
  <si>
    <t xml:space="preserve">Yes — feature is present</t>
  </si>
  <si>
    <t xml:space="preserve">  N</t>
  </si>
  <si>
    <t xml:space="preserve">No — feature is absent</t>
  </si>
  <si>
    <t xml:space="preserve">  P</t>
  </si>
  <si>
    <t xml:space="preserve">Partial — limited, paywalled, or implemented in restricted form</t>
  </si>
  <si>
    <t xml:space="preserve">  ?</t>
  </si>
  <si>
    <t xml:space="preserve">Unverified from public sources</t>
  </si>
  <si>
    <t xml:space="preserve">Source caveat</t>
  </si>
  <si>
    <t xml:space="preserve">Feature data compiled from App Store listings, developer sites, and independent reviews (Zapier, Reclaim, Tool Finder, Mindful Suite, Reddit, Apple App Store reviews). Some cells reflect marketed features rather than verified user-observed behavior. Flag cells marked 'P' for hands-on verification before making strategic decisions.</t>
  </si>
  <si>
    <t xml:space="preserve">Key methodological notes</t>
  </si>
  <si>
    <t xml:space="preserve">  1</t>
  </si>
  <si>
    <t xml:space="preserve">Review counts are a lagging indicator of market size — a new entrant (e.g., Habi) may have low counts but high engagement.</t>
  </si>
  <si>
    <t xml:space="preserve">  2</t>
  </si>
  <si>
    <t xml:space="preserve">Finch is included despite being primarily 'self-care' because its goal-tracker and habit-building features compete directly and it is the volume leader.</t>
  </si>
  <si>
    <t xml:space="preserve">  3</t>
  </si>
  <si>
    <t xml:space="preserve">TickTick and Todoist are included because they contain full habit trackers as sub-modules, making them competitors even if primarily task managers.</t>
  </si>
  <si>
    <t xml:space="preserve">  4</t>
  </si>
  <si>
    <t xml:space="preserve">Habitica's 15M+ downloads (claimed) do not match its ~2K App Store review count — this is because most usage is on Android and web.</t>
  </si>
  <si>
    <t xml:space="preserve">Rank</t>
  </si>
  <si>
    <t xml:space="preserve">App</t>
  </si>
  <si>
    <t xml:space="preserve">Developer</t>
  </si>
  <si>
    <t xml:space="preserve">iOS Rating</t>
  </si>
  <si>
    <t xml:space="preserve">iOS Review Count (approx.)</t>
  </si>
  <si>
    <t xml:space="preserve">Pricing Model</t>
  </si>
  <si>
    <t xml:space="preserve">Free Tier Limit</t>
  </si>
  <si>
    <t xml:space="preserve">Premium Price (annual)</t>
  </si>
  <si>
    <t xml:space="preserve">Platforms</t>
  </si>
  <si>
    <t xml:space="preserve">Category Positioning</t>
  </si>
  <si>
    <t xml:space="preserve">Finch: Self-Care Pet</t>
  </si>
  <si>
    <t xml:space="preserve">Finch Care PBC</t>
  </si>
  <si>
    <t xml:space="preserve">670,000+</t>
  </si>
  <si>
    <t xml:space="preserve">Freemium</t>
  </si>
  <si>
    <t xml:space="preserve">Generous — most features free</t>
  </si>
  <si>
    <t xml:space="preserve">$14.99 (iOS) / $69.99 (Android)</t>
  </si>
  <si>
    <t xml:space="preserve">iOS, iPadOS, Android</t>
  </si>
  <si>
    <t xml:space="preserve">Gamified self-care with pet companion</t>
  </si>
  <si>
    <t xml:space="preserve">Fabulous: Daily Habit Tracker</t>
  </si>
  <si>
    <t xml:space="preserve">Fabulous</t>
  </si>
  <si>
    <t xml:space="preserve">75,600+</t>
  </si>
  <si>
    <t xml:space="preserve">Freemium (subscription)</t>
  </si>
  <si>
    <t xml:space="preserve">Limited — basic journeys only</t>
  </si>
  <si>
    <t xml:space="preserve">$39.99</t>
  </si>
  <si>
    <t xml:space="preserve">iOS, Android</t>
  </si>
  <si>
    <t xml:space="preserve">Coaching-led, behavioral-science routines</t>
  </si>
  <si>
    <t xml:space="preserve">Productive — Habit Tracker</t>
  </si>
  <si>
    <t xml:space="preserve">Apalon / Mosaic</t>
  </si>
  <si>
    <t xml:space="preserve">82,000+</t>
  </si>
  <si>
    <t xml:space="preserve">2–3 habits</t>
  </si>
  <si>
    <t xml:space="preserve">~$23 (often $12 promo)</t>
  </si>
  <si>
    <t xml:space="preserve">iOS only</t>
  </si>
  <si>
    <t xml:space="preserve">Time-block habit organization</t>
  </si>
  <si>
    <t xml:space="preserve">Streaks</t>
  </si>
  <si>
    <t xml:space="preserve">Crunchy Bagel</t>
  </si>
  <si>
    <t xml:space="preserve">27,000+</t>
  </si>
  <si>
    <t xml:space="preserve">Paid (one-time)</t>
  </si>
  <si>
    <t xml:space="preserve">N/A — paid app</t>
  </si>
  <si>
    <t xml:space="preserve">$5.99 one-time</t>
  </si>
  <si>
    <t xml:space="preserve">iOS, iPadOS, macOS, watchOS, visionOS</t>
  </si>
  <si>
    <t xml:space="preserve">Minimalist Apple-ecosystem tracker</t>
  </si>
  <si>
    <t xml:space="preserve">Habitify: Habit Tracker</t>
  </si>
  <si>
    <t xml:space="preserve">Unstatic Ltd</t>
  </si>
  <si>
    <t xml:space="preserve">152,000+</t>
  </si>
  <si>
    <t xml:space="preserve">3 habits</t>
  </si>
  <si>
    <t xml:space="preserve">~$35 / $64.99 lifetime</t>
  </si>
  <si>
    <t xml:space="preserve">iOS, iPadOS, macOS, watchOS, Android, Web</t>
  </si>
  <si>
    <t xml:space="preserve">Cross-platform data-driven tracker</t>
  </si>
  <si>
    <t xml:space="preserve">TickTick: To Do List &amp; Calendar</t>
  </si>
  <si>
    <t xml:space="preserve">Appest Inc.</t>
  </si>
  <si>
    <t xml:space="preserve">150,000+</t>
  </si>
  <si>
    <t xml:space="preserve">5 habits (within task app)</t>
  </si>
  <si>
    <t xml:space="preserve">~$35.99</t>
  </si>
  <si>
    <t xml:space="preserve">iOS, Android, macOS, Windows, Web, watchOS</t>
  </si>
  <si>
    <t xml:space="preserve">Task manager with habit module</t>
  </si>
  <si>
    <t xml:space="preserve">Way of Life</t>
  </si>
  <si>
    <t xml:space="preserve">Way of Life ehf</t>
  </si>
  <si>
    <t xml:space="preserve">5,000+</t>
  </si>
  <si>
    <t xml:space="preserve">~$4.99/mo (iPhone)</t>
  </si>
  <si>
    <t xml:space="preserve">Fast-log color-coded journal</t>
  </si>
  <si>
    <t xml:space="preserve">Strides: Habit Tracker + Goals</t>
  </si>
  <si>
    <t xml:space="preserve">Goals LLC</t>
  </si>
  <si>
    <t xml:space="preserve">7,800+</t>
  </si>
  <si>
    <t xml:space="preserve">Unlimited habits, limited trackers</t>
  </si>
  <si>
    <t xml:space="preserve">~$39.99</t>
  </si>
  <si>
    <t xml:space="preserve">iOS, iPadOS, macOS, watchOS</t>
  </si>
  <si>
    <t xml:space="preserve">SMART-goal + multi-tracker-type</t>
  </si>
  <si>
    <t xml:space="preserve">Habit Tracker (InnerGrow)</t>
  </si>
  <si>
    <t xml:space="preserve">InnerGrow</t>
  </si>
  <si>
    <t xml:space="preserve">250,000+</t>
  </si>
  <si>
    <t xml:space="preserve">5–6 habits</t>
  </si>
  <si>
    <t xml:space="preserve">~$29.99 / lifetime option</t>
  </si>
  <si>
    <t xml:space="preserve">General-purpose tracker with group habits</t>
  </si>
  <si>
    <t xml:space="preserve">Habitica</t>
  </si>
  <si>
    <t xml:space="preserve">HabitRPG</t>
  </si>
  <si>
    <t xml:space="preserve">2,000+</t>
  </si>
  <si>
    <t xml:space="preserve">Free core game</t>
  </si>
  <si>
    <t xml:space="preserve">~$47.99</t>
  </si>
  <si>
    <t xml:space="preserve">iOS, Android, Web</t>
  </si>
  <si>
    <t xml:space="preserve">Gamified RPG with social guilds</t>
  </si>
  <si>
    <t xml:space="preserve">Category</t>
  </si>
  <si>
    <t xml:space="preserve">Feature</t>
  </si>
  <si>
    <t xml:space="preserve">Finch</t>
  </si>
  <si>
    <t xml:space="preserve">Productive</t>
  </si>
  <si>
    <t xml:space="preserve">Habitify</t>
  </si>
  <si>
    <t xml:space="preserve">TickTick</t>
  </si>
  <si>
    <t xml:space="preserve">Strides</t>
  </si>
  <si>
    <t xml:space="preserve">CORE TRACKING</t>
  </si>
  <si>
    <t xml:space="preserve">Unlimited habits (free tier)</t>
  </si>
  <si>
    <t xml:space="preserve">N</t>
  </si>
  <si>
    <t xml:space="preserve">P</t>
  </si>
  <si>
    <t xml:space="preserve">Y</t>
  </si>
  <si>
    <t xml:space="preserve">Unlimited habits (premium)</t>
  </si>
  <si>
    <t xml:space="preserve">Positive habits (build)</t>
  </si>
  <si>
    <t xml:space="preserve">Negative habits (break/quit)</t>
  </si>
  <si>
    <t xml:space="preserve">Quantitative habits (e.g., 8 glasses)</t>
  </si>
  <si>
    <t xml:space="preserve">Timed habits (duration-based)</t>
  </si>
  <si>
    <t xml:space="preserve">Multiple completions per day</t>
  </si>
  <si>
    <t xml:space="preserve">Flexible scheduling (days/week, X per week)</t>
  </si>
  <si>
    <t xml:space="preserve">Skip/pause days without breaking streak</t>
  </si>
  <si>
    <t xml:space="preserve">Back-date / log past entries</t>
  </si>
  <si>
    <t xml:space="preserve">STREAKS &amp; GAMIFICATION</t>
  </si>
  <si>
    <t xml:space="preserve">Streak counter (days in a row)</t>
  </si>
  <si>
    <t xml:space="preserve">Streak freeze / protection</t>
  </si>
  <si>
    <t xml:space="preserve">Best-ever streak record</t>
  </si>
  <si>
    <t xml:space="preserve">XP / levels / avatar progression</t>
  </si>
  <si>
    <t xml:space="preserve">Virtual pet / companion</t>
  </si>
  <si>
    <t xml:space="preserve">In-app currency / rewards store</t>
  </si>
  <si>
    <t xml:space="preserve">Badges / achievements</t>
  </si>
  <si>
    <t xml:space="preserve">Challenges (timed programs)</t>
  </si>
  <si>
    <t xml:space="preserve">GOAL SETTING</t>
  </si>
  <si>
    <t xml:space="preserve">Long-term goal objects (distinct from habits)</t>
  </si>
  <si>
    <t xml:space="preserve">SMART goal framework</t>
  </si>
  <si>
    <t xml:space="preserve">Milestones / sub-goals</t>
  </si>
  <si>
    <t xml:space="preserve">Goals linked to habits</t>
  </si>
  <si>
    <t xml:space="preserve">Goal deadline / target-date tracking</t>
  </si>
  <si>
    <t xml:space="preserve">Vision board / imagery</t>
  </si>
  <si>
    <t xml:space="preserve">REMINDERS &amp; NOTIFICATIONS</t>
  </si>
  <si>
    <t xml:space="preserve">Time-based reminders</t>
  </si>
  <si>
    <t xml:space="preserve">Multiple reminders per habit</t>
  </si>
  <si>
    <t xml:space="preserve">Location-based reminders</t>
  </si>
  <si>
    <t xml:space="preserve">Smart / adaptive reminders (AI)</t>
  </si>
  <si>
    <t xml:space="preserve">Repeated / escalating reminders</t>
  </si>
  <si>
    <t xml:space="preserve">VISUALIZATION &amp; ANALYTICS</t>
  </si>
  <si>
    <t xml:space="preserve">Calendar heatmap / contribution grid</t>
  </si>
  <si>
    <t xml:space="preserve">Weekly / monthly / yearly reports</t>
  </si>
  <si>
    <t xml:space="preserve">Completion rate %</t>
  </si>
  <si>
    <t xml:space="preserve">Trend charts / line graphs</t>
  </si>
  <si>
    <t xml:space="preserve">Pattern / correlation insights</t>
  </si>
  <si>
    <t xml:space="preserve">CSV / data export</t>
  </si>
  <si>
    <t xml:space="preserve">PERSONALIZATION</t>
  </si>
  <si>
    <t xml:space="preserve">Custom icons / emojis</t>
  </si>
  <si>
    <t xml:space="preserve">Custom colors / themes</t>
  </si>
  <si>
    <t xml:space="preserve">Habit categories / groups</t>
  </si>
  <si>
    <t xml:space="preserve">Habit templates / packs</t>
  </si>
  <si>
    <t xml:space="preserve">Dark mode</t>
  </si>
  <si>
    <t xml:space="preserve">APPLE ECOSYSTEM</t>
  </si>
  <si>
    <t xml:space="preserve">Home Screen widgets</t>
  </si>
  <si>
    <t xml:space="preserve">Lock Screen widgets</t>
  </si>
  <si>
    <t xml:space="preserve">Apple Watch app</t>
  </si>
  <si>
    <t xml:space="preserve">Apple Watch complications</t>
  </si>
  <si>
    <t xml:space="preserve">Siri Shortcuts integration</t>
  </si>
  <si>
    <t xml:space="preserve">Dynamic Island support</t>
  </si>
  <si>
    <t xml:space="preserve">Apple Health — read (auto-track)</t>
  </si>
  <si>
    <t xml:space="preserve">Apple Health — write (log to Health)</t>
  </si>
  <si>
    <t xml:space="preserve">iPad app</t>
  </si>
  <si>
    <t xml:space="preserve">Native macOS app</t>
  </si>
  <si>
    <t xml:space="preserve">visionOS support</t>
  </si>
  <si>
    <t xml:space="preserve">INTEGRATIONS</t>
  </si>
  <si>
    <t xml:space="preserve">Google Calendar sync</t>
  </si>
  <si>
    <t xml:space="preserve">iCalendar / Outlook sync</t>
  </si>
  <si>
    <t xml:space="preserve">Zapier / IFTTT / API</t>
  </si>
  <si>
    <t xml:space="preserve">Import from other habit apps</t>
  </si>
  <si>
    <t xml:space="preserve">Cloud sync across devices</t>
  </si>
  <si>
    <t xml:space="preserve">SOCIAL &amp; ACCOUNTABILITY</t>
  </si>
  <si>
    <t xml:space="preserve">Share habits with friends</t>
  </si>
  <si>
    <t xml:space="preserve">Group / team habits</t>
  </si>
  <si>
    <t xml:space="preserve">Public leaderboards</t>
  </si>
  <si>
    <t xml:space="preserve">In-app messaging / comments</t>
  </si>
  <si>
    <t xml:space="preserve">Community / forum / challenges</t>
  </si>
  <si>
    <t xml:space="preserve">Accountability partners</t>
  </si>
  <si>
    <t xml:space="preserve">REFLECTION &amp; JOURNALING</t>
  </si>
  <si>
    <t xml:space="preserve">Daily mood tracking</t>
  </si>
  <si>
    <t xml:space="preserve">Journal / notes per entry</t>
  </si>
  <si>
    <t xml:space="preserve">Guided reflection prompts</t>
  </si>
  <si>
    <t xml:space="preserve">Gratitude / affirmation module</t>
  </si>
  <si>
    <t xml:space="preserve">PRODUCTIVITY ADD-ONS</t>
  </si>
  <si>
    <t xml:space="preserve">Built-in Pomodoro / focus timer</t>
  </si>
  <si>
    <t xml:space="preserve">Full task / to-do manager</t>
  </si>
  <si>
    <t xml:space="preserve">Meditation / mindfulness content</t>
  </si>
  <si>
    <t xml:space="preserve">Sleep tracking / bedtime</t>
  </si>
  <si>
    <t xml:space="preserve">Educational content / articles</t>
  </si>
  <si>
    <t xml:space="preserve">AI &amp; COACHING</t>
  </si>
  <si>
    <t xml:space="preserve">AI-generated habit suggestions</t>
  </si>
  <si>
    <t xml:space="preserve">AI coach / chatbot</t>
  </si>
  <si>
    <t xml:space="preserve">Human coaching (premium)</t>
  </si>
  <si>
    <t xml:space="preserve">Personalized journey / program</t>
  </si>
  <si>
    <t xml:space="preserve">MONETIZATION SIGNALS</t>
  </si>
  <si>
    <t xml:space="preserve">Offers free tier</t>
  </si>
  <si>
    <t xml:space="preserve">Subscription model</t>
  </si>
  <si>
    <t xml:space="preserve">Lifetime / one-time purchase option</t>
  </si>
  <si>
    <t xml:space="preserve">Ad-free (paid or free)</t>
  </si>
  <si>
    <t xml:space="preserve">In-app consumables / virtual goods</t>
  </si>
  <si>
    <t xml:space="preserve">PRIVACY</t>
  </si>
  <si>
    <t xml:space="preserve">Local-only data option (no account)</t>
  </si>
  <si>
    <t xml:space="preserve">End-to-end encryption claimed</t>
  </si>
  <si>
    <t xml:space="preserve">No-login / anonymous use</t>
  </si>
  <si>
    <t xml:space="preserve">Legend:</t>
  </si>
  <si>
    <t xml:space="preserve">Y = Yes</t>
  </si>
  <si>
    <t xml:space="preserve">N = No</t>
  </si>
  <si>
    <t xml:space="preserve">P = Partial/paywalled</t>
  </si>
  <si>
    <t xml:space="preserve">? = Unverified</t>
  </si>
  <si>
    <t xml:space="preserve"># Yes</t>
  </si>
  <si>
    <t xml:space="preserve"># Partial</t>
  </si>
  <si>
    <t xml:space="preserve"># No</t>
  </si>
  <si>
    <t xml:space="preserve">Market Penetration</t>
  </si>
  <si>
    <t xml:space="preserve">Whitespace Signal</t>
  </si>
  <si>
    <t xml:space="preserve">Archetype</t>
  </si>
  <si>
    <t xml:space="preserve">Apps in this cluster</t>
  </si>
  <si>
    <t xml:space="preserve">Core value prop</t>
  </si>
  <si>
    <t xml:space="preserve">Demographic</t>
  </si>
  <si>
    <t xml:space="preserve">Notable gap / opportunity</t>
  </si>
  <si>
    <t xml:space="preserve">Gamified Companion</t>
  </si>
  <si>
    <t xml:space="preserve">Finch, Habitica</t>
  </si>
  <si>
    <t xml:space="preserve">Emotional engagement via pets/avatars; rewards are intrinsic to the product</t>
  </si>
  <si>
    <t xml:space="preserve">Gen Z, neurodivergent users, anyone with low baseline motivation</t>
  </si>
  <si>
    <t xml:space="preserve">Little serious analytics; limited for performance/athletic users</t>
  </si>
  <si>
    <t xml:space="preserve">Minimalist Apple-first</t>
  </si>
  <si>
    <t xml:space="preserve">Streaks, Way of Life</t>
  </si>
  <si>
    <t xml:space="preserve">Fewest taps, beautiful design, deep Apple ecosystem</t>
  </si>
  <si>
    <t xml:space="preserve">Apple power users, design-conscious professionals</t>
  </si>
  <si>
    <t xml:space="preserve">Weak social/accountability; no AI; capped habit counts</t>
  </si>
  <si>
    <t xml:space="preserve">Data-Driven Cross-Platform</t>
  </si>
  <si>
    <t xml:space="preserve">Habitify, Habit Tracker (InnerGrow)</t>
  </si>
  <si>
    <t xml:space="preserve">Deep analytics, cross-device sync, integrations</t>
  </si>
  <si>
    <t xml:space="preserve">Productivity nerds, Android+iOS households</t>
  </si>
  <si>
    <t xml:space="preserve">Interfaces are utilitarian — limited emotional pull</t>
  </si>
  <si>
    <t xml:space="preserve">Coaching / Behavior-Science</t>
  </si>
  <si>
    <t xml:space="preserve">Fabulous, Productive</t>
  </si>
  <si>
    <t xml:space="preserve">Guided journeys, curated content, CBT-adjacent structure</t>
  </si>
  <si>
    <t xml:space="preserve">Users seeking lifestyle transformation, not just logging</t>
  </si>
  <si>
    <t xml:space="preserve">Heavy paywalls; feels like a content app not a tool</t>
  </si>
  <si>
    <t xml:space="preserve">Goal-Setting SMART</t>
  </si>
  <si>
    <t xml:space="preserve">Strides, (Habitify partial)</t>
  </si>
  <si>
    <t xml:space="preserve">Long-term goals with milestones, not just daily checks</t>
  </si>
  <si>
    <t xml:space="preserve">Career-focused adults, athletes, students</t>
  </si>
  <si>
    <t xml:space="preserve">Narrow feature set, weak design, no AI goal decomposition</t>
  </si>
  <si>
    <t xml:space="preserve">Task Manager with Habits</t>
  </si>
  <si>
    <t xml:space="preserve">Habits bolted onto a full GTD system</t>
  </si>
  <si>
    <t xml:space="preserve">Power-user professionals consolidating tools</t>
  </si>
  <si>
    <t xml:space="preserve">Habit module is secondary — not best-in-class</t>
  </si>
  <si>
    <t xml:space="preserve">WHITESPACE SUMMARY (from Feature Gaps sheet)</t>
  </si>
  <si>
    <t xml:space="preserve">High-penetration = table stakes</t>
  </si>
  <si>
    <t xml:space="preserve">Streak counters, time reminders, completion %, widgets, themes, cloud sync</t>
  </si>
  <si>
    <t xml:space="preserve">Medium-penetration = differentiators</t>
  </si>
  <si>
    <t xml:space="preserve">Apple Health write, negative habits, CSV export, calendar integrations, mood tracking, challenges</t>
  </si>
  <si>
    <t xml:space="preserve">Low-penetration = whitespace</t>
  </si>
  <si>
    <t xml:space="preserve">AI coach, streak freezes, SMART goal framework, human coaching, E2E encryption, vision boards, location reminders, adaptive AI reminders, Health two-way sync</t>
  </si>
  <si>
    <t xml:space="preserve">STRATEGIC OBSERVATIONS FOR A NEW ENTRANT</t>
  </si>
  <si>
    <t xml:space="preserve">1. Pricing anomaly</t>
  </si>
  <si>
    <t xml:space="preserve">Finch charges $14.99/yr on iOS but $69.99/yr on Android — there is room for transparent/consistent pricing as a marketing hook</t>
  </si>
  <si>
    <t xml:space="preserve">2. Streak-freeze gap</t>
  </si>
  <si>
    <t xml:space="preserve">Virtually no major app offers intelligent streak protection — Habi (new entrant) built its whole positioning around this. Validates the gap.</t>
  </si>
  <si>
    <t xml:space="preserve">3. Goal-habit linkage</t>
  </si>
  <si>
    <t xml:space="preserve">Only 3 apps explicitly link goals to habits. Users currently patch this with Notion. Large whitespace.</t>
  </si>
  <si>
    <t xml:space="preserve">4. AI is under-exploited</t>
  </si>
  <si>
    <t xml:space="preserve">Only Fabulous has a real AI coach. Given 2025–26 LLM economics, a modern AI habit coach with adaptive scheduling is undertaken by no incumbent.</t>
  </si>
  <si>
    <t xml:space="preserve">5. Apple Health two-way</t>
  </si>
  <si>
    <t xml:space="preserve">Only Habitify and Streaks do it well. Differentiator for fitness-oriented users.</t>
  </si>
  <si>
    <t xml:space="preserve">6. Consolidation threat</t>
  </si>
  <si>
    <t xml:space="preserve">TickTick already bundles habits into a task manager. A well-designed habit app must justify why it's not a sub-feature of Todoist/TickTick/Reminders.</t>
  </si>
  <si>
    <t xml:space="preserve">7. Gamification fatigue</t>
  </si>
  <si>
    <t xml:space="preserve">Habitica's 4.0 rating (vs Finch's 4.9) suggests pixel-RPG gamification is dated. Finch's pet/emotional model is the new gold standard.</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</si>
</sst>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name val="Arial"/>
      <family val="0"/>
      <charset val="1"/>
    </font>
    <font>
      <b val="true"/>
      <sz val="11"/>
      <color rgb="FF1F4E79"/>
      <name val="Arial"/>
      <family val="0"/>
      <charset val="1"/>
    </font>
    <font>
      <b val="true"/>
      <sz val="10"/>
      <color rgb="FFFFFFFF"/>
      <name val="Arial"/>
      <family val="0"/>
      <charset val="1"/>
    </font>
    <font>
      <b val="true"/>
      <sz val="10"/>
      <name val="Arial"/>
      <family val="0"/>
      <charset val="1"/>
    </font>
    <font>
      <b val="true"/>
      <sz val="11"/>
      <color rgb="FFFFFFFF"/>
      <name val="Arial"/>
      <family val="0"/>
      <charset val="1"/>
    </font>
  </fonts>
  <fills count="9">
    <fill>
      <patternFill patternType="none"/>
    </fill>
    <fill>
      <patternFill patternType="gray125"/>
    </fill>
    <fill>
      <patternFill patternType="solid">
        <fgColor rgb="FF1F4E79"/>
        <bgColor rgb="FF305496"/>
      </patternFill>
    </fill>
    <fill>
      <patternFill patternType="solid">
        <fgColor rgb="FFF2F6FA"/>
        <bgColor rgb="FFFFFFFF"/>
      </patternFill>
    </fill>
    <fill>
      <patternFill patternType="solid">
        <fgColor rgb="FF305496"/>
        <bgColor rgb="FF1F4E79"/>
      </patternFill>
    </fill>
    <fill>
      <patternFill patternType="solid">
        <fgColor rgb="FFFFC7CE"/>
        <bgColor rgb="FFD9D9D9"/>
      </patternFill>
    </fill>
    <fill>
      <patternFill patternType="solid">
        <fgColor rgb="FFFFEB9C"/>
        <bgColor rgb="FFD9D9D9"/>
      </patternFill>
    </fill>
    <fill>
      <patternFill patternType="solid">
        <fgColor rgb="FFC6EFCE"/>
        <bgColor rgb="FFD9D9D9"/>
      </patternFill>
    </fill>
    <fill>
      <patternFill patternType="solid">
        <fgColor rgb="FFD9D9D9"/>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7" fillId="4" borderId="0"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4" fontId="8" fillId="8" borderId="1" xfId="0" applyFont="true" applyBorder="true" applyAlignment="true" applyProtection="false">
      <alignment horizontal="center" vertical="bottom"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6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4E79"/>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27.75" hidden="false" customHeight="true" outlineLevel="0" collapsed="false">
      <c r="A1" s="1" t="s">
        <v>0</v>
      </c>
      <c r="B1" s="1"/>
    </row>
    <row r="2" customFormat="false" ht="15" hidden="false" customHeight="false" outlineLevel="0" collapsed="false">
      <c r="A2" s="2"/>
      <c r="B2" s="3"/>
    </row>
    <row r="3" customFormat="false" ht="15" hidden="false" customHeight="false" outlineLevel="0" collapsed="false">
      <c r="A3" s="4"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c r="B8" s="3"/>
    </row>
    <row r="9" customFormat="false" ht="15" hidden="false" customHeight="false" outlineLevel="0" collapsed="false">
      <c r="A9" s="4" t="s">
        <v>11</v>
      </c>
      <c r="B9" s="3"/>
    </row>
    <row r="10" customFormat="false" ht="15" hidden="false" customHeight="false" outlineLevel="0" collapsed="false">
      <c r="A10" s="2" t="s">
        <v>12</v>
      </c>
      <c r="B10" s="3" t="s">
        <v>13</v>
      </c>
    </row>
    <row r="11" customFormat="false" ht="15" hidden="false" customHeight="false" outlineLevel="0" collapsed="false">
      <c r="A11" s="2" t="s">
        <v>14</v>
      </c>
      <c r="B11" s="3" t="s">
        <v>15</v>
      </c>
    </row>
    <row r="12" customFormat="false" ht="15" hidden="false" customHeight="false" outlineLevel="0" collapsed="false">
      <c r="A12" s="2" t="s">
        <v>16</v>
      </c>
      <c r="B12" s="3" t="s">
        <v>17</v>
      </c>
    </row>
    <row r="13" customFormat="false" ht="15" hidden="false" customHeight="false" outlineLevel="0" collapsed="false">
      <c r="A13" s="2" t="s">
        <v>18</v>
      </c>
      <c r="B13" s="3" t="s">
        <v>19</v>
      </c>
    </row>
    <row r="14" customFormat="false" ht="15" hidden="false" customHeight="false" outlineLevel="0" collapsed="false">
      <c r="A14" s="2"/>
      <c r="B14" s="3"/>
    </row>
    <row r="15" customFormat="false" ht="15" hidden="false" customHeight="false" outlineLevel="0" collapsed="false">
      <c r="A15" s="4" t="s">
        <v>20</v>
      </c>
      <c r="B15" s="3"/>
    </row>
    <row r="16" customFormat="false" ht="15" hidden="false" customHeight="false" outlineLevel="0" collapsed="false">
      <c r="A16" s="2" t="s">
        <v>21</v>
      </c>
      <c r="B16" s="3" t="s">
        <v>22</v>
      </c>
    </row>
    <row r="17" customFormat="false" ht="15" hidden="false" customHeight="false" outlineLevel="0" collapsed="false">
      <c r="A17" s="2" t="s">
        <v>23</v>
      </c>
      <c r="B17" s="3" t="s">
        <v>24</v>
      </c>
    </row>
    <row r="18" customFormat="false" ht="15" hidden="false" customHeight="false" outlineLevel="0" collapsed="false">
      <c r="A18" s="2" t="s">
        <v>25</v>
      </c>
      <c r="B18" s="3" t="s">
        <v>26</v>
      </c>
    </row>
    <row r="19" customFormat="false" ht="15" hidden="false" customHeight="false" outlineLevel="0" collapsed="false">
      <c r="A19" s="2" t="s">
        <v>27</v>
      </c>
      <c r="B19" s="3" t="s">
        <v>28</v>
      </c>
    </row>
    <row r="20" customFormat="false" ht="15" hidden="false" customHeight="false" outlineLevel="0" collapsed="false">
      <c r="A20" s="2"/>
      <c r="B20" s="3"/>
    </row>
    <row r="21" customFormat="false" ht="35.05" hidden="false" customHeight="false" outlineLevel="0" collapsed="false">
      <c r="A21" s="2" t="s">
        <v>29</v>
      </c>
      <c r="B21" s="3" t="s">
        <v>30</v>
      </c>
    </row>
    <row r="22" customFormat="false" ht="15" hidden="false" customHeight="false" outlineLevel="0" collapsed="false">
      <c r="A22" s="2"/>
      <c r="B22" s="3"/>
    </row>
    <row r="23" customFormat="false" ht="15" hidden="false" customHeight="false" outlineLevel="0" collapsed="false">
      <c r="A23" s="4" t="s">
        <v>31</v>
      </c>
      <c r="B23" s="3"/>
    </row>
    <row r="24" customFormat="false" ht="15" hidden="false" customHeight="false" outlineLevel="0" collapsed="false">
      <c r="A24" s="2" t="s">
        <v>32</v>
      </c>
      <c r="B24" s="3" t="s">
        <v>33</v>
      </c>
    </row>
    <row r="25" customFormat="false" ht="23.85" hidden="false" customHeight="false" outlineLevel="0" collapsed="false">
      <c r="A25" s="2" t="s">
        <v>34</v>
      </c>
      <c r="B25" s="3" t="s">
        <v>35</v>
      </c>
    </row>
    <row r="26" customFormat="false" ht="23.85" hidden="false" customHeight="false" outlineLevel="0" collapsed="false">
      <c r="A26" s="2" t="s">
        <v>36</v>
      </c>
      <c r="B26" s="3" t="s">
        <v>37</v>
      </c>
    </row>
    <row r="27" customFormat="false" ht="23.85" hidden="false" customHeight="false" outlineLevel="0" collapsed="false">
      <c r="A27" s="2" t="s">
        <v>38</v>
      </c>
      <c r="B27" s="3" t="s">
        <v>39</v>
      </c>
    </row>
    <row r="28" customFormat="false" ht="15" hidden="false" customHeight="false" outlineLevel="0" collapsed="false">
      <c r="A28" s="2"/>
      <c r="B28" s="2"/>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8"/>
    <col collapsed="false" customWidth="true" hidden="false" outlineLevel="0" max="4" min="4" style="0" width="10"/>
    <col collapsed="false" customWidth="true" hidden="false" outlineLevel="0" max="5" min="5" style="0" width="18"/>
    <col collapsed="false" customWidth="true" hidden="false" outlineLevel="0" max="6" min="6" style="0" width="22"/>
    <col collapsed="false" customWidth="true" hidden="false" outlineLevel="0" max="7" min="7" style="0" width="30"/>
    <col collapsed="false" customWidth="true" hidden="false" outlineLevel="0" max="8" min="8" style="0" width="25"/>
    <col collapsed="false" customWidth="true" hidden="false" outlineLevel="0" max="10" min="9" style="0" width="38"/>
  </cols>
  <sheetData>
    <row r="1" customFormat="false" ht="39.75" hidden="false" customHeight="true" outlineLevel="0" collapsed="false">
      <c r="A1" s="5" t="s">
        <v>40</v>
      </c>
      <c r="B1" s="5" t="s">
        <v>41</v>
      </c>
      <c r="C1" s="5" t="s">
        <v>42</v>
      </c>
      <c r="D1" s="5" t="s">
        <v>43</v>
      </c>
      <c r="E1" s="5" t="s">
        <v>44</v>
      </c>
      <c r="F1" s="5" t="s">
        <v>45</v>
      </c>
      <c r="G1" s="5" t="s">
        <v>46</v>
      </c>
      <c r="H1" s="5" t="s">
        <v>47</v>
      </c>
      <c r="I1" s="5" t="s">
        <v>48</v>
      </c>
      <c r="J1" s="5" t="s">
        <v>49</v>
      </c>
    </row>
    <row r="2" customFormat="false" ht="36" hidden="false" customHeight="true" outlineLevel="0" collapsed="false">
      <c r="A2" s="6" t="n">
        <v>1</v>
      </c>
      <c r="B2" s="6" t="s">
        <v>50</v>
      </c>
      <c r="C2" s="6" t="s">
        <v>51</v>
      </c>
      <c r="D2" s="6" t="n">
        <v>4.9</v>
      </c>
      <c r="E2" s="6" t="s">
        <v>52</v>
      </c>
      <c r="F2" s="6" t="s">
        <v>53</v>
      </c>
      <c r="G2" s="6" t="s">
        <v>54</v>
      </c>
      <c r="H2" s="6" t="s">
        <v>55</v>
      </c>
      <c r="I2" s="6" t="s">
        <v>56</v>
      </c>
      <c r="J2" s="6" t="s">
        <v>57</v>
      </c>
    </row>
    <row r="3" customFormat="false" ht="36" hidden="false" customHeight="true" outlineLevel="0" collapsed="false">
      <c r="A3" s="7" t="n">
        <v>2</v>
      </c>
      <c r="B3" s="7" t="s">
        <v>58</v>
      </c>
      <c r="C3" s="7" t="s">
        <v>59</v>
      </c>
      <c r="D3" s="7" t="n">
        <v>4.6</v>
      </c>
      <c r="E3" s="7" t="s">
        <v>60</v>
      </c>
      <c r="F3" s="7" t="s">
        <v>61</v>
      </c>
      <c r="G3" s="7" t="s">
        <v>62</v>
      </c>
      <c r="H3" s="7" t="s">
        <v>63</v>
      </c>
      <c r="I3" s="7" t="s">
        <v>64</v>
      </c>
      <c r="J3" s="7" t="s">
        <v>65</v>
      </c>
    </row>
    <row r="4" customFormat="false" ht="36" hidden="false" customHeight="true" outlineLevel="0" collapsed="false">
      <c r="A4" s="6" t="n">
        <v>3</v>
      </c>
      <c r="B4" s="6" t="s">
        <v>66</v>
      </c>
      <c r="C4" s="6" t="s">
        <v>67</v>
      </c>
      <c r="D4" s="6" t="n">
        <v>4</v>
      </c>
      <c r="E4" s="6" t="s">
        <v>68</v>
      </c>
      <c r="F4" s="6" t="s">
        <v>61</v>
      </c>
      <c r="G4" s="6" t="s">
        <v>69</v>
      </c>
      <c r="H4" s="6" t="s">
        <v>70</v>
      </c>
      <c r="I4" s="6" t="s">
        <v>71</v>
      </c>
      <c r="J4" s="6" t="s">
        <v>72</v>
      </c>
    </row>
    <row r="5" customFormat="false" ht="36" hidden="false" customHeight="true" outlineLevel="0" collapsed="false">
      <c r="A5" s="7" t="n">
        <v>4</v>
      </c>
      <c r="B5" s="7" t="s">
        <v>73</v>
      </c>
      <c r="C5" s="7" t="s">
        <v>74</v>
      </c>
      <c r="D5" s="7" t="n">
        <v>4.8</v>
      </c>
      <c r="E5" s="7" t="s">
        <v>75</v>
      </c>
      <c r="F5" s="7" t="s">
        <v>76</v>
      </c>
      <c r="G5" s="7" t="s">
        <v>77</v>
      </c>
      <c r="H5" s="7" t="s">
        <v>78</v>
      </c>
      <c r="I5" s="7" t="s">
        <v>79</v>
      </c>
      <c r="J5" s="7" t="s">
        <v>80</v>
      </c>
    </row>
    <row r="6" customFormat="false" ht="36" hidden="false" customHeight="true" outlineLevel="0" collapsed="false">
      <c r="A6" s="6" t="n">
        <v>5</v>
      </c>
      <c r="B6" s="6" t="s">
        <v>81</v>
      </c>
      <c r="C6" s="6" t="s">
        <v>82</v>
      </c>
      <c r="D6" s="6" t="n">
        <v>4.6</v>
      </c>
      <c r="E6" s="6" t="s">
        <v>83</v>
      </c>
      <c r="F6" s="6" t="s">
        <v>61</v>
      </c>
      <c r="G6" s="6" t="s">
        <v>84</v>
      </c>
      <c r="H6" s="6" t="s">
        <v>85</v>
      </c>
      <c r="I6" s="6" t="s">
        <v>86</v>
      </c>
      <c r="J6" s="6" t="s">
        <v>87</v>
      </c>
    </row>
    <row r="7" customFormat="false" ht="36" hidden="false" customHeight="true" outlineLevel="0" collapsed="false">
      <c r="A7" s="7" t="n">
        <v>6</v>
      </c>
      <c r="B7" s="7" t="s">
        <v>88</v>
      </c>
      <c r="C7" s="7" t="s">
        <v>89</v>
      </c>
      <c r="D7" s="7" t="n">
        <v>4.8</v>
      </c>
      <c r="E7" s="7" t="s">
        <v>90</v>
      </c>
      <c r="F7" s="7" t="s">
        <v>61</v>
      </c>
      <c r="G7" s="7" t="s">
        <v>91</v>
      </c>
      <c r="H7" s="7" t="s">
        <v>92</v>
      </c>
      <c r="I7" s="7" t="s">
        <v>93</v>
      </c>
      <c r="J7" s="7" t="s">
        <v>94</v>
      </c>
    </row>
    <row r="8" customFormat="false" ht="36" hidden="false" customHeight="true" outlineLevel="0" collapsed="false">
      <c r="A8" s="6" t="n">
        <v>7</v>
      </c>
      <c r="B8" s="6" t="s">
        <v>95</v>
      </c>
      <c r="C8" s="6" t="s">
        <v>96</v>
      </c>
      <c r="D8" s="6" t="n">
        <v>4.5</v>
      </c>
      <c r="E8" s="6" t="s">
        <v>97</v>
      </c>
      <c r="F8" s="6" t="s">
        <v>53</v>
      </c>
      <c r="G8" s="6" t="s">
        <v>84</v>
      </c>
      <c r="H8" s="6" t="s">
        <v>98</v>
      </c>
      <c r="I8" s="6" t="s">
        <v>64</v>
      </c>
      <c r="J8" s="6" t="s">
        <v>99</v>
      </c>
    </row>
    <row r="9" customFormat="false" ht="36" hidden="false" customHeight="true" outlineLevel="0" collapsed="false">
      <c r="A9" s="7" t="n">
        <v>8</v>
      </c>
      <c r="B9" s="7" t="s">
        <v>100</v>
      </c>
      <c r="C9" s="7" t="s">
        <v>101</v>
      </c>
      <c r="D9" s="7" t="n">
        <v>4.7</v>
      </c>
      <c r="E9" s="7" t="s">
        <v>102</v>
      </c>
      <c r="F9" s="7" t="s">
        <v>61</v>
      </c>
      <c r="G9" s="7" t="s">
        <v>103</v>
      </c>
      <c r="H9" s="7" t="s">
        <v>104</v>
      </c>
      <c r="I9" s="7" t="s">
        <v>105</v>
      </c>
      <c r="J9" s="7" t="s">
        <v>106</v>
      </c>
    </row>
    <row r="10" customFormat="false" ht="36" hidden="false" customHeight="true" outlineLevel="0" collapsed="false">
      <c r="A10" s="6" t="n">
        <v>9</v>
      </c>
      <c r="B10" s="6" t="s">
        <v>107</v>
      </c>
      <c r="C10" s="6" t="s">
        <v>108</v>
      </c>
      <c r="D10" s="6" t="n">
        <v>4.8</v>
      </c>
      <c r="E10" s="6" t="s">
        <v>109</v>
      </c>
      <c r="F10" s="6" t="s">
        <v>61</v>
      </c>
      <c r="G10" s="6" t="s">
        <v>110</v>
      </c>
      <c r="H10" s="6" t="s">
        <v>111</v>
      </c>
      <c r="I10" s="6" t="s">
        <v>64</v>
      </c>
      <c r="J10" s="6" t="s">
        <v>112</v>
      </c>
    </row>
    <row r="11" customFormat="false" ht="36" hidden="false" customHeight="true" outlineLevel="0" collapsed="false">
      <c r="A11" s="7" t="n">
        <v>10</v>
      </c>
      <c r="B11" s="7" t="s">
        <v>113</v>
      </c>
      <c r="C11" s="7" t="s">
        <v>114</v>
      </c>
      <c r="D11" s="7" t="n">
        <v>4</v>
      </c>
      <c r="E11" s="7" t="s">
        <v>115</v>
      </c>
      <c r="F11" s="7" t="s">
        <v>61</v>
      </c>
      <c r="G11" s="7" t="s">
        <v>116</v>
      </c>
      <c r="H11" s="7" t="s">
        <v>117</v>
      </c>
      <c r="I11" s="7" t="s">
        <v>118</v>
      </c>
      <c r="J11" s="7"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12" min="3" style="0" width="12"/>
  </cols>
  <sheetData>
    <row r="1" customFormat="false" ht="45" hidden="false" customHeight="true" outlineLevel="0" collapsed="false">
      <c r="A1" s="5" t="s">
        <v>120</v>
      </c>
      <c r="B1" s="5" t="s">
        <v>121</v>
      </c>
      <c r="C1" s="5" t="s">
        <v>122</v>
      </c>
      <c r="D1" s="5" t="s">
        <v>59</v>
      </c>
      <c r="E1" s="5" t="s">
        <v>123</v>
      </c>
      <c r="F1" s="5" t="s">
        <v>73</v>
      </c>
      <c r="G1" s="5" t="s">
        <v>124</v>
      </c>
      <c r="H1" s="5" t="s">
        <v>125</v>
      </c>
      <c r="I1" s="5" t="s">
        <v>95</v>
      </c>
      <c r="J1" s="5" t="s">
        <v>126</v>
      </c>
      <c r="K1" s="5" t="s">
        <v>107</v>
      </c>
      <c r="L1" s="5" t="s">
        <v>113</v>
      </c>
    </row>
    <row r="2" customFormat="false" ht="15" hidden="false" customHeight="false" outlineLevel="0" collapsed="false">
      <c r="A2" s="8" t="s">
        <v>127</v>
      </c>
      <c r="B2" s="8"/>
      <c r="C2" s="8"/>
      <c r="D2" s="8"/>
      <c r="E2" s="8"/>
      <c r="F2" s="8"/>
      <c r="G2" s="8"/>
      <c r="H2" s="8"/>
      <c r="I2" s="8"/>
      <c r="J2" s="8"/>
      <c r="K2" s="8"/>
      <c r="L2" s="8"/>
    </row>
    <row r="3" customFormat="false" ht="15" hidden="false" customHeight="false" outlineLevel="0" collapsed="false">
      <c r="B3" s="7" t="s">
        <v>128</v>
      </c>
      <c r="C3" s="9" t="s">
        <v>129</v>
      </c>
      <c r="D3" s="9" t="s">
        <v>129</v>
      </c>
      <c r="E3" s="9" t="s">
        <v>129</v>
      </c>
      <c r="F3" s="9" t="s">
        <v>129</v>
      </c>
      <c r="G3" s="9" t="s">
        <v>129</v>
      </c>
      <c r="H3" s="9" t="s">
        <v>129</v>
      </c>
      <c r="I3" s="9" t="s">
        <v>129</v>
      </c>
      <c r="J3" s="10" t="s">
        <v>130</v>
      </c>
      <c r="K3" s="9" t="s">
        <v>129</v>
      </c>
      <c r="L3" s="11" t="s">
        <v>131</v>
      </c>
    </row>
    <row r="4" customFormat="false" ht="15" hidden="false" customHeight="false" outlineLevel="0" collapsed="false">
      <c r="B4" s="7" t="s">
        <v>132</v>
      </c>
      <c r="C4" s="11" t="s">
        <v>131</v>
      </c>
      <c r="D4" s="11" t="s">
        <v>131</v>
      </c>
      <c r="E4" s="11" t="s">
        <v>131</v>
      </c>
      <c r="F4" s="11" t="s">
        <v>131</v>
      </c>
      <c r="G4" s="11" t="s">
        <v>131</v>
      </c>
      <c r="H4" s="11" t="s">
        <v>131</v>
      </c>
      <c r="I4" s="11" t="s">
        <v>131</v>
      </c>
      <c r="J4" s="11" t="s">
        <v>131</v>
      </c>
      <c r="K4" s="11" t="s">
        <v>131</v>
      </c>
      <c r="L4" s="11" t="s">
        <v>131</v>
      </c>
    </row>
    <row r="5" customFormat="false" ht="15" hidden="false" customHeight="false" outlineLevel="0" collapsed="false">
      <c r="B5" s="7" t="s">
        <v>133</v>
      </c>
      <c r="C5" s="11" t="s">
        <v>131</v>
      </c>
      <c r="D5" s="11" t="s">
        <v>131</v>
      </c>
      <c r="E5" s="11" t="s">
        <v>131</v>
      </c>
      <c r="F5" s="11" t="s">
        <v>131</v>
      </c>
      <c r="G5" s="11" t="s">
        <v>131</v>
      </c>
      <c r="H5" s="11" t="s">
        <v>131</v>
      </c>
      <c r="I5" s="11" t="s">
        <v>131</v>
      </c>
      <c r="J5" s="11" t="s">
        <v>131</v>
      </c>
      <c r="K5" s="11" t="s">
        <v>131</v>
      </c>
      <c r="L5" s="11" t="s">
        <v>131</v>
      </c>
    </row>
    <row r="6" customFormat="false" ht="15" hidden="false" customHeight="false" outlineLevel="0" collapsed="false">
      <c r="B6" s="7" t="s">
        <v>134</v>
      </c>
      <c r="C6" s="11" t="s">
        <v>131</v>
      </c>
      <c r="D6" s="9" t="s">
        <v>129</v>
      </c>
      <c r="E6" s="9" t="s">
        <v>129</v>
      </c>
      <c r="F6" s="11" t="s">
        <v>131</v>
      </c>
      <c r="G6" s="11" t="s">
        <v>131</v>
      </c>
      <c r="H6" s="9" t="s">
        <v>129</v>
      </c>
      <c r="I6" s="11" t="s">
        <v>131</v>
      </c>
      <c r="J6" s="11" t="s">
        <v>131</v>
      </c>
      <c r="K6" s="11" t="s">
        <v>131</v>
      </c>
      <c r="L6" s="11" t="s">
        <v>131</v>
      </c>
    </row>
    <row r="7" customFormat="false" ht="15" hidden="false" customHeight="false" outlineLevel="0" collapsed="false">
      <c r="B7" s="7" t="s">
        <v>135</v>
      </c>
      <c r="C7" s="11" t="s">
        <v>131</v>
      </c>
      <c r="D7" s="9" t="s">
        <v>129</v>
      </c>
      <c r="E7" s="11" t="s">
        <v>131</v>
      </c>
      <c r="F7" s="11" t="s">
        <v>131</v>
      </c>
      <c r="G7" s="11" t="s">
        <v>131</v>
      </c>
      <c r="H7" s="9" t="s">
        <v>129</v>
      </c>
      <c r="I7" s="10" t="s">
        <v>130</v>
      </c>
      <c r="J7" s="11" t="s">
        <v>131</v>
      </c>
      <c r="K7" s="11" t="s">
        <v>131</v>
      </c>
      <c r="L7" s="9" t="s">
        <v>129</v>
      </c>
    </row>
    <row r="8" customFormat="false" ht="15" hidden="false" customHeight="false" outlineLevel="0" collapsed="false">
      <c r="B8" s="7" t="s">
        <v>136</v>
      </c>
      <c r="C8" s="11" t="s">
        <v>131</v>
      </c>
      <c r="D8" s="11" t="s">
        <v>131</v>
      </c>
      <c r="E8" s="11" t="s">
        <v>131</v>
      </c>
      <c r="F8" s="11" t="s">
        <v>131</v>
      </c>
      <c r="G8" s="11" t="s">
        <v>131</v>
      </c>
      <c r="H8" s="11" t="s">
        <v>131</v>
      </c>
      <c r="I8" s="9" t="s">
        <v>129</v>
      </c>
      <c r="J8" s="11" t="s">
        <v>131</v>
      </c>
      <c r="K8" s="11" t="s">
        <v>131</v>
      </c>
      <c r="L8" s="9" t="s">
        <v>129</v>
      </c>
    </row>
    <row r="9" customFormat="false" ht="15" hidden="false" customHeight="false" outlineLevel="0" collapsed="false">
      <c r="B9" s="7" t="s">
        <v>137</v>
      </c>
      <c r="C9" s="11" t="s">
        <v>131</v>
      </c>
      <c r="D9" s="11" t="s">
        <v>131</v>
      </c>
      <c r="E9" s="11" t="s">
        <v>131</v>
      </c>
      <c r="F9" s="11" t="s">
        <v>131</v>
      </c>
      <c r="G9" s="11" t="s">
        <v>131</v>
      </c>
      <c r="H9" s="10" t="s">
        <v>130</v>
      </c>
      <c r="I9" s="9" t="s">
        <v>129</v>
      </c>
      <c r="J9" s="11" t="s">
        <v>131</v>
      </c>
      <c r="K9" s="11" t="s">
        <v>131</v>
      </c>
      <c r="L9" s="11" t="s">
        <v>131</v>
      </c>
    </row>
    <row r="10" customFormat="false" ht="15" hidden="false" customHeight="false" outlineLevel="0" collapsed="false">
      <c r="B10" s="7" t="s">
        <v>138</v>
      </c>
      <c r="C10" s="11" t="s">
        <v>131</v>
      </c>
      <c r="D10" s="11" t="s">
        <v>131</v>
      </c>
      <c r="E10" s="11" t="s">
        <v>131</v>
      </c>
      <c r="F10" s="11" t="s">
        <v>131</v>
      </c>
      <c r="G10" s="11" t="s">
        <v>131</v>
      </c>
      <c r="H10" s="11" t="s">
        <v>131</v>
      </c>
      <c r="I10" s="11" t="s">
        <v>131</v>
      </c>
      <c r="J10" s="11" t="s">
        <v>131</v>
      </c>
      <c r="K10" s="11" t="s">
        <v>131</v>
      </c>
      <c r="L10" s="11" t="s">
        <v>131</v>
      </c>
    </row>
    <row r="11" customFormat="false" ht="15" hidden="false" customHeight="false" outlineLevel="0" collapsed="false">
      <c r="B11" s="7" t="s">
        <v>139</v>
      </c>
      <c r="C11" s="11" t="s">
        <v>131</v>
      </c>
      <c r="D11" s="10" t="s">
        <v>130</v>
      </c>
      <c r="E11" s="11" t="s">
        <v>131</v>
      </c>
      <c r="F11" s="11" t="s">
        <v>131</v>
      </c>
      <c r="G11" s="10" t="s">
        <v>130</v>
      </c>
      <c r="H11" s="10" t="s">
        <v>130</v>
      </c>
      <c r="I11" s="11" t="s">
        <v>131</v>
      </c>
      <c r="J11" s="11" t="s">
        <v>131</v>
      </c>
      <c r="K11" s="11" t="s">
        <v>131</v>
      </c>
      <c r="L11" s="9" t="s">
        <v>129</v>
      </c>
    </row>
    <row r="12" customFormat="false" ht="15" hidden="false" customHeight="false" outlineLevel="0" collapsed="false">
      <c r="B12" s="7" t="s">
        <v>140</v>
      </c>
      <c r="C12" s="11" t="s">
        <v>131</v>
      </c>
      <c r="D12" s="10" t="s">
        <v>130</v>
      </c>
      <c r="E12" s="11" t="s">
        <v>131</v>
      </c>
      <c r="F12" s="11" t="s">
        <v>131</v>
      </c>
      <c r="G12" s="11" t="s">
        <v>131</v>
      </c>
      <c r="H12" s="11" t="s">
        <v>131</v>
      </c>
      <c r="I12" s="11" t="s">
        <v>131</v>
      </c>
      <c r="J12" s="11" t="s">
        <v>131</v>
      </c>
      <c r="K12" s="11" t="s">
        <v>131</v>
      </c>
      <c r="L12" s="10" t="s">
        <v>130</v>
      </c>
    </row>
    <row r="13" customFormat="false" ht="15" hidden="false" customHeight="false" outlineLevel="0" collapsed="false">
      <c r="A13" s="8" t="s">
        <v>141</v>
      </c>
      <c r="B13" s="8"/>
      <c r="C13" s="8"/>
      <c r="D13" s="8"/>
      <c r="E13" s="8"/>
      <c r="F13" s="8"/>
      <c r="G13" s="8"/>
      <c r="H13" s="8"/>
      <c r="I13" s="8"/>
      <c r="J13" s="8"/>
      <c r="K13" s="8"/>
      <c r="L13" s="8"/>
    </row>
    <row r="14" customFormat="false" ht="15" hidden="false" customHeight="false" outlineLevel="0" collapsed="false">
      <c r="B14" s="7" t="s">
        <v>142</v>
      </c>
      <c r="C14" s="11" t="s">
        <v>131</v>
      </c>
      <c r="D14" s="11" t="s">
        <v>131</v>
      </c>
      <c r="E14" s="11" t="s">
        <v>131</v>
      </c>
      <c r="F14" s="11" t="s">
        <v>131</v>
      </c>
      <c r="G14" s="11" t="s">
        <v>131</v>
      </c>
      <c r="H14" s="11" t="s">
        <v>131</v>
      </c>
      <c r="I14" s="11" t="s">
        <v>131</v>
      </c>
      <c r="J14" s="11" t="s">
        <v>131</v>
      </c>
      <c r="K14" s="11" t="s">
        <v>131</v>
      </c>
      <c r="L14" s="10" t="s">
        <v>130</v>
      </c>
    </row>
    <row r="15" customFormat="false" ht="15" hidden="false" customHeight="false" outlineLevel="0" collapsed="false">
      <c r="B15" s="7" t="s">
        <v>143</v>
      </c>
      <c r="C15" s="9" t="s">
        <v>129</v>
      </c>
      <c r="D15" s="9" t="s">
        <v>129</v>
      </c>
      <c r="E15" s="9" t="s">
        <v>129</v>
      </c>
      <c r="F15" s="9" t="s">
        <v>129</v>
      </c>
      <c r="G15" s="9" t="s">
        <v>129</v>
      </c>
      <c r="H15" s="9" t="s">
        <v>129</v>
      </c>
      <c r="I15" s="9" t="s">
        <v>129</v>
      </c>
      <c r="J15" s="9" t="s">
        <v>129</v>
      </c>
      <c r="K15" s="9" t="s">
        <v>129</v>
      </c>
      <c r="L15" s="10" t="s">
        <v>130</v>
      </c>
    </row>
    <row r="16" customFormat="false" ht="15" hidden="false" customHeight="false" outlineLevel="0" collapsed="false">
      <c r="B16" s="7" t="s">
        <v>144</v>
      </c>
      <c r="C16" s="11" t="s">
        <v>131</v>
      </c>
      <c r="D16" s="10" t="s">
        <v>130</v>
      </c>
      <c r="E16" s="11" t="s">
        <v>131</v>
      </c>
      <c r="F16" s="11" t="s">
        <v>131</v>
      </c>
      <c r="G16" s="11" t="s">
        <v>131</v>
      </c>
      <c r="H16" s="11" t="s">
        <v>131</v>
      </c>
      <c r="I16" s="11" t="s">
        <v>131</v>
      </c>
      <c r="J16" s="11" t="s">
        <v>131</v>
      </c>
      <c r="K16" s="11" t="s">
        <v>131</v>
      </c>
      <c r="L16" s="9" t="s">
        <v>129</v>
      </c>
    </row>
    <row r="17" customFormat="false" ht="15" hidden="false" customHeight="false" outlineLevel="0" collapsed="false">
      <c r="B17" s="7" t="s">
        <v>145</v>
      </c>
      <c r="C17" s="11" t="s">
        <v>131</v>
      </c>
      <c r="D17" s="9" t="s">
        <v>129</v>
      </c>
      <c r="E17" s="9" t="s">
        <v>129</v>
      </c>
      <c r="F17" s="9" t="s">
        <v>129</v>
      </c>
      <c r="G17" s="9" t="s">
        <v>129</v>
      </c>
      <c r="H17" s="11" t="s">
        <v>131</v>
      </c>
      <c r="I17" s="9" t="s">
        <v>129</v>
      </c>
      <c r="J17" s="9" t="s">
        <v>129</v>
      </c>
      <c r="K17" s="9" t="s">
        <v>129</v>
      </c>
      <c r="L17" s="11" t="s">
        <v>131</v>
      </c>
    </row>
    <row r="18" customFormat="false" ht="15" hidden="false" customHeight="false" outlineLevel="0" collapsed="false">
      <c r="B18" s="7" t="s">
        <v>146</v>
      </c>
      <c r="C18" s="11" t="s">
        <v>131</v>
      </c>
      <c r="D18" s="9" t="s">
        <v>129</v>
      </c>
      <c r="E18" s="9" t="s">
        <v>129</v>
      </c>
      <c r="F18" s="9" t="s">
        <v>129</v>
      </c>
      <c r="G18" s="9" t="s">
        <v>129</v>
      </c>
      <c r="H18" s="9" t="s">
        <v>129</v>
      </c>
      <c r="I18" s="9" t="s">
        <v>129</v>
      </c>
      <c r="J18" s="9" t="s">
        <v>129</v>
      </c>
      <c r="K18" s="9" t="s">
        <v>129</v>
      </c>
      <c r="L18" s="10" t="s">
        <v>130</v>
      </c>
    </row>
    <row r="19" customFormat="false" ht="15" hidden="false" customHeight="false" outlineLevel="0" collapsed="false">
      <c r="B19" s="7" t="s">
        <v>147</v>
      </c>
      <c r="C19" s="11" t="s">
        <v>131</v>
      </c>
      <c r="D19" s="9" t="s">
        <v>129</v>
      </c>
      <c r="E19" s="9" t="s">
        <v>129</v>
      </c>
      <c r="F19" s="9" t="s">
        <v>129</v>
      </c>
      <c r="G19" s="9" t="s">
        <v>129</v>
      </c>
      <c r="H19" s="11" t="s">
        <v>131</v>
      </c>
      <c r="I19" s="9" t="s">
        <v>129</v>
      </c>
      <c r="J19" s="9" t="s">
        <v>129</v>
      </c>
      <c r="K19" s="9" t="s">
        <v>129</v>
      </c>
      <c r="L19" s="11" t="s">
        <v>131</v>
      </c>
    </row>
    <row r="20" customFormat="false" ht="15" hidden="false" customHeight="false" outlineLevel="0" collapsed="false">
      <c r="B20" s="7" t="s">
        <v>148</v>
      </c>
      <c r="C20" s="11" t="s">
        <v>131</v>
      </c>
      <c r="D20" s="11" t="s">
        <v>131</v>
      </c>
      <c r="E20" s="11" t="s">
        <v>131</v>
      </c>
      <c r="F20" s="10" t="s">
        <v>130</v>
      </c>
      <c r="G20" s="11" t="s">
        <v>131</v>
      </c>
      <c r="H20" s="11" t="s">
        <v>131</v>
      </c>
      <c r="I20" s="9" t="s">
        <v>129</v>
      </c>
      <c r="J20" s="9" t="s">
        <v>129</v>
      </c>
      <c r="K20" s="11" t="s">
        <v>131</v>
      </c>
      <c r="L20" s="11" t="s">
        <v>131</v>
      </c>
    </row>
    <row r="21" customFormat="false" ht="15" hidden="false" customHeight="false" outlineLevel="0" collapsed="false">
      <c r="B21" s="7" t="s">
        <v>149</v>
      </c>
      <c r="C21" s="11" t="s">
        <v>131</v>
      </c>
      <c r="D21" s="11" t="s">
        <v>131</v>
      </c>
      <c r="E21" s="11" t="s">
        <v>131</v>
      </c>
      <c r="F21" s="9" t="s">
        <v>129</v>
      </c>
      <c r="G21" s="11" t="s">
        <v>131</v>
      </c>
      <c r="H21" s="9" t="s">
        <v>129</v>
      </c>
      <c r="I21" s="9" t="s">
        <v>129</v>
      </c>
      <c r="J21" s="9" t="s">
        <v>129</v>
      </c>
      <c r="K21" s="11" t="s">
        <v>131</v>
      </c>
      <c r="L21" s="11" t="s">
        <v>131</v>
      </c>
    </row>
    <row r="22" customFormat="false" ht="15" hidden="false" customHeight="false" outlineLevel="0" collapsed="false">
      <c r="A22" s="8" t="s">
        <v>150</v>
      </c>
      <c r="B22" s="8"/>
      <c r="C22" s="8"/>
      <c r="D22" s="8"/>
      <c r="E22" s="8"/>
      <c r="F22" s="8"/>
      <c r="G22" s="8"/>
      <c r="H22" s="8"/>
      <c r="I22" s="8"/>
      <c r="J22" s="8"/>
      <c r="K22" s="8"/>
      <c r="L22" s="8"/>
    </row>
    <row r="23" customFormat="false" ht="15" hidden="false" customHeight="false" outlineLevel="0" collapsed="false">
      <c r="B23" s="7" t="s">
        <v>151</v>
      </c>
      <c r="C23" s="11" t="s">
        <v>131</v>
      </c>
      <c r="D23" s="11" t="s">
        <v>131</v>
      </c>
      <c r="E23" s="9" t="s">
        <v>129</v>
      </c>
      <c r="F23" s="9" t="s">
        <v>129</v>
      </c>
      <c r="G23" s="9" t="s">
        <v>129</v>
      </c>
      <c r="H23" s="11" t="s">
        <v>131</v>
      </c>
      <c r="I23" s="9" t="s">
        <v>129</v>
      </c>
      <c r="J23" s="11" t="s">
        <v>131</v>
      </c>
      <c r="K23" s="9" t="s">
        <v>129</v>
      </c>
      <c r="L23" s="9" t="s">
        <v>129</v>
      </c>
    </row>
    <row r="24" customFormat="false" ht="15" hidden="false" customHeight="false" outlineLevel="0" collapsed="false">
      <c r="B24" s="7" t="s">
        <v>152</v>
      </c>
      <c r="C24" s="9" t="s">
        <v>129</v>
      </c>
      <c r="D24" s="10" t="s">
        <v>130</v>
      </c>
      <c r="E24" s="9" t="s">
        <v>129</v>
      </c>
      <c r="F24" s="9" t="s">
        <v>129</v>
      </c>
      <c r="G24" s="9" t="s">
        <v>129</v>
      </c>
      <c r="H24" s="9" t="s">
        <v>129</v>
      </c>
      <c r="I24" s="9" t="s">
        <v>129</v>
      </c>
      <c r="J24" s="11" t="s">
        <v>131</v>
      </c>
      <c r="K24" s="9" t="s">
        <v>129</v>
      </c>
      <c r="L24" s="9" t="s">
        <v>129</v>
      </c>
    </row>
    <row r="25" customFormat="false" ht="15" hidden="false" customHeight="false" outlineLevel="0" collapsed="false">
      <c r="B25" s="7" t="s">
        <v>153</v>
      </c>
      <c r="C25" s="11" t="s">
        <v>131</v>
      </c>
      <c r="D25" s="11" t="s">
        <v>131</v>
      </c>
      <c r="E25" s="9" t="s">
        <v>129</v>
      </c>
      <c r="F25" s="9" t="s">
        <v>129</v>
      </c>
      <c r="G25" s="9" t="s">
        <v>129</v>
      </c>
      <c r="H25" s="11" t="s">
        <v>131</v>
      </c>
      <c r="I25" s="9" t="s">
        <v>129</v>
      </c>
      <c r="J25" s="11" t="s">
        <v>131</v>
      </c>
      <c r="K25" s="9" t="s">
        <v>129</v>
      </c>
      <c r="L25" s="9" t="s">
        <v>129</v>
      </c>
    </row>
    <row r="26" customFormat="false" ht="15" hidden="false" customHeight="false" outlineLevel="0" collapsed="false">
      <c r="B26" s="7" t="s">
        <v>154</v>
      </c>
      <c r="C26" s="11" t="s">
        <v>131</v>
      </c>
      <c r="D26" s="11" t="s">
        <v>131</v>
      </c>
      <c r="E26" s="9" t="s">
        <v>129</v>
      </c>
      <c r="F26" s="9" t="s">
        <v>129</v>
      </c>
      <c r="G26" s="10" t="s">
        <v>130</v>
      </c>
      <c r="H26" s="11" t="s">
        <v>131</v>
      </c>
      <c r="I26" s="9" t="s">
        <v>129</v>
      </c>
      <c r="J26" s="11" t="s">
        <v>131</v>
      </c>
      <c r="K26" s="9" t="s">
        <v>129</v>
      </c>
      <c r="L26" s="9" t="s">
        <v>129</v>
      </c>
    </row>
    <row r="27" customFormat="false" ht="15" hidden="false" customHeight="false" outlineLevel="0" collapsed="false">
      <c r="B27" s="7" t="s">
        <v>155</v>
      </c>
      <c r="C27" s="11" t="s">
        <v>131</v>
      </c>
      <c r="D27" s="10" t="s">
        <v>130</v>
      </c>
      <c r="E27" s="9" t="s">
        <v>129</v>
      </c>
      <c r="F27" s="9" t="s">
        <v>129</v>
      </c>
      <c r="G27" s="9" t="s">
        <v>129</v>
      </c>
      <c r="H27" s="11" t="s">
        <v>131</v>
      </c>
      <c r="I27" s="9" t="s">
        <v>129</v>
      </c>
      <c r="J27" s="11" t="s">
        <v>131</v>
      </c>
      <c r="K27" s="9" t="s">
        <v>129</v>
      </c>
      <c r="L27" s="9" t="s">
        <v>129</v>
      </c>
    </row>
    <row r="28" customFormat="false" ht="15" hidden="false" customHeight="false" outlineLevel="0" collapsed="false">
      <c r="B28" s="7" t="s">
        <v>156</v>
      </c>
      <c r="C28" s="9" t="s">
        <v>129</v>
      </c>
      <c r="D28" s="9" t="s">
        <v>129</v>
      </c>
      <c r="E28" s="9" t="s">
        <v>129</v>
      </c>
      <c r="F28" s="9" t="s">
        <v>129</v>
      </c>
      <c r="G28" s="9" t="s">
        <v>129</v>
      </c>
      <c r="H28" s="9" t="s">
        <v>129</v>
      </c>
      <c r="I28" s="9" t="s">
        <v>129</v>
      </c>
      <c r="J28" s="9" t="s">
        <v>129</v>
      </c>
      <c r="K28" s="9" t="s">
        <v>129</v>
      </c>
      <c r="L28" s="9" t="s">
        <v>129</v>
      </c>
    </row>
    <row r="29" customFormat="false" ht="15" hidden="false" customHeight="false" outlineLevel="0" collapsed="false">
      <c r="A29" s="8" t="s">
        <v>157</v>
      </c>
      <c r="B29" s="8"/>
      <c r="C29" s="8"/>
      <c r="D29" s="8"/>
      <c r="E29" s="8"/>
      <c r="F29" s="8"/>
      <c r="G29" s="8"/>
      <c r="H29" s="8"/>
      <c r="I29" s="8"/>
      <c r="J29" s="8"/>
      <c r="K29" s="8"/>
      <c r="L29" s="8"/>
    </row>
    <row r="30" customFormat="false" ht="15" hidden="false" customHeight="false" outlineLevel="0" collapsed="false">
      <c r="B30" s="7" t="s">
        <v>158</v>
      </c>
      <c r="C30" s="11" t="s">
        <v>131</v>
      </c>
      <c r="D30" s="11" t="s">
        <v>131</v>
      </c>
      <c r="E30" s="11" t="s">
        <v>131</v>
      </c>
      <c r="F30" s="11" t="s">
        <v>131</v>
      </c>
      <c r="G30" s="11" t="s">
        <v>131</v>
      </c>
      <c r="H30" s="11" t="s">
        <v>131</v>
      </c>
      <c r="I30" s="11" t="s">
        <v>131</v>
      </c>
      <c r="J30" s="11" t="s">
        <v>131</v>
      </c>
      <c r="K30" s="11" t="s">
        <v>131</v>
      </c>
      <c r="L30" s="11" t="s">
        <v>131</v>
      </c>
    </row>
    <row r="31" customFormat="false" ht="15" hidden="false" customHeight="false" outlineLevel="0" collapsed="false">
      <c r="B31" s="7" t="s">
        <v>159</v>
      </c>
      <c r="C31" s="11" t="s">
        <v>131</v>
      </c>
      <c r="D31" s="11" t="s">
        <v>131</v>
      </c>
      <c r="E31" s="11" t="s">
        <v>131</v>
      </c>
      <c r="F31" s="11" t="s">
        <v>131</v>
      </c>
      <c r="G31" s="11" t="s">
        <v>131</v>
      </c>
      <c r="H31" s="11" t="s">
        <v>131</v>
      </c>
      <c r="I31" s="9" t="s">
        <v>129</v>
      </c>
      <c r="J31" s="11" t="s">
        <v>131</v>
      </c>
      <c r="K31" s="11" t="s">
        <v>131</v>
      </c>
      <c r="L31" s="10" t="s">
        <v>130</v>
      </c>
    </row>
    <row r="32" customFormat="false" ht="15" hidden="false" customHeight="false" outlineLevel="0" collapsed="false">
      <c r="B32" s="7" t="s">
        <v>160</v>
      </c>
      <c r="C32" s="9" t="s">
        <v>129</v>
      </c>
      <c r="D32" s="9" t="s">
        <v>129</v>
      </c>
      <c r="E32" s="11" t="s">
        <v>131</v>
      </c>
      <c r="F32" s="9" t="s">
        <v>129</v>
      </c>
      <c r="G32" s="9" t="s">
        <v>129</v>
      </c>
      <c r="H32" s="11" t="s">
        <v>131</v>
      </c>
      <c r="I32" s="9" t="s">
        <v>129</v>
      </c>
      <c r="J32" s="9" t="s">
        <v>129</v>
      </c>
      <c r="K32" s="11" t="s">
        <v>131</v>
      </c>
      <c r="L32" s="9" t="s">
        <v>129</v>
      </c>
    </row>
    <row r="33" customFormat="false" ht="15" hidden="false" customHeight="false" outlineLevel="0" collapsed="false">
      <c r="B33" s="7" t="s">
        <v>161</v>
      </c>
      <c r="C33" s="10" t="s">
        <v>130</v>
      </c>
      <c r="D33" s="11" t="s">
        <v>131</v>
      </c>
      <c r="E33" s="9" t="s">
        <v>129</v>
      </c>
      <c r="F33" s="9" t="s">
        <v>129</v>
      </c>
      <c r="G33" s="9" t="s">
        <v>129</v>
      </c>
      <c r="H33" s="9" t="s">
        <v>129</v>
      </c>
      <c r="I33" s="9" t="s">
        <v>129</v>
      </c>
      <c r="J33" s="9" t="s">
        <v>129</v>
      </c>
      <c r="K33" s="9" t="s">
        <v>129</v>
      </c>
      <c r="L33" s="9" t="s">
        <v>129</v>
      </c>
    </row>
    <row r="34" customFormat="false" ht="15" hidden="false" customHeight="false" outlineLevel="0" collapsed="false">
      <c r="B34" s="7" t="s">
        <v>162</v>
      </c>
      <c r="C34" s="9" t="s">
        <v>129</v>
      </c>
      <c r="D34" s="9" t="s">
        <v>129</v>
      </c>
      <c r="E34" s="11" t="s">
        <v>131</v>
      </c>
      <c r="F34" s="9" t="s">
        <v>129</v>
      </c>
      <c r="G34" s="11" t="s">
        <v>131</v>
      </c>
      <c r="H34" s="9" t="s">
        <v>129</v>
      </c>
      <c r="I34" s="9" t="s">
        <v>129</v>
      </c>
      <c r="J34" s="9" t="s">
        <v>129</v>
      </c>
      <c r="K34" s="11" t="s">
        <v>131</v>
      </c>
      <c r="L34" s="9" t="s">
        <v>129</v>
      </c>
    </row>
    <row r="35" customFormat="false" ht="15" hidden="false" customHeight="false" outlineLevel="0" collapsed="false">
      <c r="A35" s="8" t="s">
        <v>163</v>
      </c>
      <c r="B35" s="8"/>
      <c r="C35" s="8"/>
      <c r="D35" s="8"/>
      <c r="E35" s="8"/>
      <c r="F35" s="8"/>
      <c r="G35" s="8"/>
      <c r="H35" s="8"/>
      <c r="I35" s="8"/>
      <c r="J35" s="8"/>
      <c r="K35" s="8"/>
      <c r="L35" s="8"/>
    </row>
    <row r="36" customFormat="false" ht="15" hidden="false" customHeight="false" outlineLevel="0" collapsed="false">
      <c r="B36" s="7" t="s">
        <v>164</v>
      </c>
      <c r="C36" s="10" t="s">
        <v>130</v>
      </c>
      <c r="D36" s="9" t="s">
        <v>129</v>
      </c>
      <c r="E36" s="11" t="s">
        <v>131</v>
      </c>
      <c r="F36" s="11" t="s">
        <v>131</v>
      </c>
      <c r="G36" s="11" t="s">
        <v>131</v>
      </c>
      <c r="H36" s="11" t="s">
        <v>131</v>
      </c>
      <c r="I36" s="11" t="s">
        <v>131</v>
      </c>
      <c r="J36" s="11" t="s">
        <v>131</v>
      </c>
      <c r="K36" s="11" t="s">
        <v>131</v>
      </c>
      <c r="L36" s="9" t="s">
        <v>129</v>
      </c>
    </row>
    <row r="37" customFormat="false" ht="15" hidden="false" customHeight="false" outlineLevel="0" collapsed="false">
      <c r="B37" s="7" t="s">
        <v>165</v>
      </c>
      <c r="C37" s="11" t="s">
        <v>131</v>
      </c>
      <c r="D37" s="11" t="s">
        <v>131</v>
      </c>
      <c r="E37" s="11" t="s">
        <v>131</v>
      </c>
      <c r="F37" s="11" t="s">
        <v>131</v>
      </c>
      <c r="G37" s="11" t="s">
        <v>131</v>
      </c>
      <c r="H37" s="11" t="s">
        <v>131</v>
      </c>
      <c r="I37" s="11" t="s">
        <v>131</v>
      </c>
      <c r="J37" s="11" t="s">
        <v>131</v>
      </c>
      <c r="K37" s="11" t="s">
        <v>131</v>
      </c>
      <c r="L37" s="10" t="s">
        <v>130</v>
      </c>
    </row>
    <row r="38" customFormat="false" ht="15" hidden="false" customHeight="false" outlineLevel="0" collapsed="false">
      <c r="B38" s="7" t="s">
        <v>166</v>
      </c>
      <c r="C38" s="11" t="s">
        <v>131</v>
      </c>
      <c r="D38" s="11" t="s">
        <v>131</v>
      </c>
      <c r="E38" s="11" t="s">
        <v>131</v>
      </c>
      <c r="F38" s="11" t="s">
        <v>131</v>
      </c>
      <c r="G38" s="11" t="s">
        <v>131</v>
      </c>
      <c r="H38" s="11" t="s">
        <v>131</v>
      </c>
      <c r="I38" s="11" t="s">
        <v>131</v>
      </c>
      <c r="J38" s="11" t="s">
        <v>131</v>
      </c>
      <c r="K38" s="11" t="s">
        <v>131</v>
      </c>
      <c r="L38" s="9" t="s">
        <v>129</v>
      </c>
    </row>
    <row r="39" customFormat="false" ht="15" hidden="false" customHeight="false" outlineLevel="0" collapsed="false">
      <c r="B39" s="7" t="s">
        <v>167</v>
      </c>
      <c r="C39" s="11" t="s">
        <v>131</v>
      </c>
      <c r="D39" s="10" t="s">
        <v>130</v>
      </c>
      <c r="E39" s="11" t="s">
        <v>131</v>
      </c>
      <c r="F39" s="10" t="s">
        <v>130</v>
      </c>
      <c r="G39" s="11" t="s">
        <v>131</v>
      </c>
      <c r="H39" s="10" t="s">
        <v>130</v>
      </c>
      <c r="I39" s="11" t="s">
        <v>131</v>
      </c>
      <c r="J39" s="11" t="s">
        <v>131</v>
      </c>
      <c r="K39" s="11" t="s">
        <v>131</v>
      </c>
      <c r="L39" s="9" t="s">
        <v>129</v>
      </c>
    </row>
    <row r="40" customFormat="false" ht="15" hidden="false" customHeight="false" outlineLevel="0" collapsed="false">
      <c r="B40" s="7" t="s">
        <v>168</v>
      </c>
      <c r="C40" s="11" t="s">
        <v>131</v>
      </c>
      <c r="D40" s="11" t="s">
        <v>131</v>
      </c>
      <c r="E40" s="10" t="s">
        <v>130</v>
      </c>
      <c r="F40" s="9" t="s">
        <v>129</v>
      </c>
      <c r="G40" s="11" t="s">
        <v>131</v>
      </c>
      <c r="H40" s="9" t="s">
        <v>129</v>
      </c>
      <c r="I40" s="11" t="s">
        <v>131</v>
      </c>
      <c r="J40" s="10" t="s">
        <v>130</v>
      </c>
      <c r="K40" s="9" t="s">
        <v>129</v>
      </c>
      <c r="L40" s="9" t="s">
        <v>129</v>
      </c>
    </row>
    <row r="41" customFormat="false" ht="15" hidden="false" customHeight="false" outlineLevel="0" collapsed="false">
      <c r="B41" s="7" t="s">
        <v>169</v>
      </c>
      <c r="C41" s="9" t="s">
        <v>129</v>
      </c>
      <c r="D41" s="9" t="s">
        <v>129</v>
      </c>
      <c r="E41" s="10" t="s">
        <v>130</v>
      </c>
      <c r="F41" s="11" t="s">
        <v>131</v>
      </c>
      <c r="G41" s="11" t="s">
        <v>131</v>
      </c>
      <c r="H41" s="11" t="s">
        <v>131</v>
      </c>
      <c r="I41" s="11" t="s">
        <v>131</v>
      </c>
      <c r="J41" s="11" t="s">
        <v>131</v>
      </c>
      <c r="K41" s="10" t="s">
        <v>130</v>
      </c>
      <c r="L41" s="9" t="s">
        <v>129</v>
      </c>
    </row>
    <row r="42" customFormat="false" ht="15" hidden="false" customHeight="false" outlineLevel="0" collapsed="false">
      <c r="A42" s="8" t="s">
        <v>170</v>
      </c>
      <c r="B42" s="8"/>
      <c r="C42" s="8"/>
      <c r="D42" s="8"/>
      <c r="E42" s="8"/>
      <c r="F42" s="8"/>
      <c r="G42" s="8"/>
      <c r="H42" s="8"/>
      <c r="I42" s="8"/>
      <c r="J42" s="8"/>
      <c r="K42" s="8"/>
      <c r="L42" s="8"/>
    </row>
    <row r="43" customFormat="false" ht="15" hidden="false" customHeight="false" outlineLevel="0" collapsed="false">
      <c r="B43" s="7" t="s">
        <v>171</v>
      </c>
      <c r="C43" s="11" t="s">
        <v>131</v>
      </c>
      <c r="D43" s="11" t="s">
        <v>131</v>
      </c>
      <c r="E43" s="11" t="s">
        <v>131</v>
      </c>
      <c r="F43" s="11" t="s">
        <v>131</v>
      </c>
      <c r="G43" s="11" t="s">
        <v>131</v>
      </c>
      <c r="H43" s="11" t="s">
        <v>131</v>
      </c>
      <c r="I43" s="11" t="s">
        <v>131</v>
      </c>
      <c r="J43" s="11" t="s">
        <v>131</v>
      </c>
      <c r="K43" s="11" t="s">
        <v>131</v>
      </c>
      <c r="L43" s="10" t="s">
        <v>130</v>
      </c>
    </row>
    <row r="44" customFormat="false" ht="15" hidden="false" customHeight="false" outlineLevel="0" collapsed="false">
      <c r="B44" s="7" t="s">
        <v>172</v>
      </c>
      <c r="C44" s="11" t="s">
        <v>131</v>
      </c>
      <c r="D44" s="11" t="s">
        <v>131</v>
      </c>
      <c r="E44" s="11" t="s">
        <v>131</v>
      </c>
      <c r="F44" s="11" t="s">
        <v>131</v>
      </c>
      <c r="G44" s="11" t="s">
        <v>131</v>
      </c>
      <c r="H44" s="11" t="s">
        <v>131</v>
      </c>
      <c r="I44" s="11" t="s">
        <v>131</v>
      </c>
      <c r="J44" s="11" t="s">
        <v>131</v>
      </c>
      <c r="K44" s="11" t="s">
        <v>131</v>
      </c>
      <c r="L44" s="11" t="s">
        <v>131</v>
      </c>
    </row>
    <row r="45" customFormat="false" ht="15" hidden="false" customHeight="false" outlineLevel="0" collapsed="false">
      <c r="B45" s="7" t="s">
        <v>173</v>
      </c>
      <c r="C45" s="11" t="s">
        <v>131</v>
      </c>
      <c r="D45" s="11" t="s">
        <v>131</v>
      </c>
      <c r="E45" s="11" t="s">
        <v>131</v>
      </c>
      <c r="F45" s="9" t="s">
        <v>129</v>
      </c>
      <c r="G45" s="11" t="s">
        <v>131</v>
      </c>
      <c r="H45" s="11" t="s">
        <v>131</v>
      </c>
      <c r="I45" s="10" t="s">
        <v>130</v>
      </c>
      <c r="J45" s="11" t="s">
        <v>131</v>
      </c>
      <c r="K45" s="11" t="s">
        <v>131</v>
      </c>
      <c r="L45" s="11" t="s">
        <v>131</v>
      </c>
    </row>
    <row r="46" customFormat="false" ht="15" hidden="false" customHeight="false" outlineLevel="0" collapsed="false">
      <c r="B46" s="7" t="s">
        <v>174</v>
      </c>
      <c r="C46" s="11" t="s">
        <v>131</v>
      </c>
      <c r="D46" s="11" t="s">
        <v>131</v>
      </c>
      <c r="E46" s="11" t="s">
        <v>131</v>
      </c>
      <c r="F46" s="11" t="s">
        <v>131</v>
      </c>
      <c r="G46" s="11" t="s">
        <v>131</v>
      </c>
      <c r="H46" s="9" t="s">
        <v>129</v>
      </c>
      <c r="I46" s="9" t="s">
        <v>129</v>
      </c>
      <c r="J46" s="11" t="s">
        <v>131</v>
      </c>
      <c r="K46" s="11" t="s">
        <v>131</v>
      </c>
      <c r="L46" s="10" t="s">
        <v>130</v>
      </c>
    </row>
    <row r="47" customFormat="false" ht="15" hidden="false" customHeight="false" outlineLevel="0" collapsed="false">
      <c r="B47" s="7" t="s">
        <v>175</v>
      </c>
      <c r="C47" s="11" t="s">
        <v>131</v>
      </c>
      <c r="D47" s="11" t="s">
        <v>131</v>
      </c>
      <c r="E47" s="11" t="s">
        <v>131</v>
      </c>
      <c r="F47" s="11" t="s">
        <v>131</v>
      </c>
      <c r="G47" s="11" t="s">
        <v>131</v>
      </c>
      <c r="H47" s="11" t="s">
        <v>131</v>
      </c>
      <c r="I47" s="11" t="s">
        <v>131</v>
      </c>
      <c r="J47" s="11" t="s">
        <v>131</v>
      </c>
      <c r="K47" s="11" t="s">
        <v>131</v>
      </c>
      <c r="L47" s="11" t="s">
        <v>131</v>
      </c>
    </row>
    <row r="48" customFormat="false" ht="15" hidden="false" customHeight="false" outlineLevel="0" collapsed="false">
      <c r="A48" s="8" t="s">
        <v>176</v>
      </c>
      <c r="B48" s="8"/>
      <c r="C48" s="8"/>
      <c r="D48" s="8"/>
      <c r="E48" s="8"/>
      <c r="F48" s="8"/>
      <c r="G48" s="8"/>
      <c r="H48" s="8"/>
      <c r="I48" s="8"/>
      <c r="J48" s="8"/>
      <c r="K48" s="8"/>
      <c r="L48" s="8"/>
    </row>
    <row r="49" customFormat="false" ht="15" hidden="false" customHeight="false" outlineLevel="0" collapsed="false">
      <c r="B49" s="7" t="s">
        <v>177</v>
      </c>
      <c r="C49" s="11" t="s">
        <v>131</v>
      </c>
      <c r="D49" s="11" t="s">
        <v>131</v>
      </c>
      <c r="E49" s="11" t="s">
        <v>131</v>
      </c>
      <c r="F49" s="11" t="s">
        <v>131</v>
      </c>
      <c r="G49" s="11" t="s">
        <v>131</v>
      </c>
      <c r="H49" s="11" t="s">
        <v>131</v>
      </c>
      <c r="I49" s="11" t="s">
        <v>131</v>
      </c>
      <c r="J49" s="11" t="s">
        <v>131</v>
      </c>
      <c r="K49" s="11" t="s">
        <v>131</v>
      </c>
      <c r="L49" s="11" t="s">
        <v>131</v>
      </c>
    </row>
    <row r="50" customFormat="false" ht="15" hidden="false" customHeight="false" outlineLevel="0" collapsed="false">
      <c r="B50" s="7" t="s">
        <v>178</v>
      </c>
      <c r="C50" s="11" t="s">
        <v>131</v>
      </c>
      <c r="D50" s="11" t="s">
        <v>131</v>
      </c>
      <c r="E50" s="11" t="s">
        <v>131</v>
      </c>
      <c r="F50" s="11" t="s">
        <v>131</v>
      </c>
      <c r="G50" s="11" t="s">
        <v>131</v>
      </c>
      <c r="H50" s="11" t="s">
        <v>131</v>
      </c>
      <c r="I50" s="10" t="s">
        <v>130</v>
      </c>
      <c r="J50" s="11" t="s">
        <v>131</v>
      </c>
      <c r="K50" s="10" t="s">
        <v>130</v>
      </c>
      <c r="L50" s="10" t="s">
        <v>130</v>
      </c>
    </row>
    <row r="51" customFormat="false" ht="15" hidden="false" customHeight="false" outlineLevel="0" collapsed="false">
      <c r="B51" s="7" t="s">
        <v>179</v>
      </c>
      <c r="C51" s="9" t="s">
        <v>129</v>
      </c>
      <c r="D51" s="11" t="s">
        <v>131</v>
      </c>
      <c r="E51" s="11" t="s">
        <v>131</v>
      </c>
      <c r="F51" s="11" t="s">
        <v>131</v>
      </c>
      <c r="G51" s="11" t="s">
        <v>131</v>
      </c>
      <c r="H51" s="11" t="s">
        <v>131</v>
      </c>
      <c r="I51" s="11" t="s">
        <v>131</v>
      </c>
      <c r="J51" s="11" t="s">
        <v>131</v>
      </c>
      <c r="K51" s="10" t="s">
        <v>130</v>
      </c>
      <c r="L51" s="11" t="s">
        <v>131</v>
      </c>
    </row>
    <row r="52" customFormat="false" ht="15" hidden="false" customHeight="false" outlineLevel="0" collapsed="false">
      <c r="B52" s="7" t="s">
        <v>180</v>
      </c>
      <c r="C52" s="9" t="s">
        <v>129</v>
      </c>
      <c r="D52" s="10" t="s">
        <v>130</v>
      </c>
      <c r="E52" s="11" t="s">
        <v>131</v>
      </c>
      <c r="F52" s="11" t="s">
        <v>131</v>
      </c>
      <c r="G52" s="11" t="s">
        <v>131</v>
      </c>
      <c r="H52" s="11" t="s">
        <v>131</v>
      </c>
      <c r="I52" s="11" t="s">
        <v>131</v>
      </c>
      <c r="J52" s="11" t="s">
        <v>131</v>
      </c>
      <c r="K52" s="9" t="s">
        <v>129</v>
      </c>
      <c r="L52" s="10" t="s">
        <v>130</v>
      </c>
    </row>
    <row r="53" customFormat="false" ht="15" hidden="false" customHeight="false" outlineLevel="0" collapsed="false">
      <c r="B53" s="7" t="s">
        <v>181</v>
      </c>
      <c r="C53" s="9" t="s">
        <v>129</v>
      </c>
      <c r="D53" s="10" t="s">
        <v>130</v>
      </c>
      <c r="E53" s="11" t="s">
        <v>131</v>
      </c>
      <c r="F53" s="11" t="s">
        <v>131</v>
      </c>
      <c r="G53" s="11" t="s">
        <v>131</v>
      </c>
      <c r="H53" s="11" t="s">
        <v>131</v>
      </c>
      <c r="I53" s="11" t="s">
        <v>131</v>
      </c>
      <c r="J53" s="11" t="s">
        <v>131</v>
      </c>
      <c r="K53" s="10" t="s">
        <v>130</v>
      </c>
      <c r="L53" s="10" t="s">
        <v>130</v>
      </c>
    </row>
    <row r="54" customFormat="false" ht="15" hidden="false" customHeight="false" outlineLevel="0" collapsed="false">
      <c r="B54" s="7" t="s">
        <v>182</v>
      </c>
      <c r="C54" s="9" t="s">
        <v>129</v>
      </c>
      <c r="D54" s="11" t="s">
        <v>131</v>
      </c>
      <c r="E54" s="9" t="s">
        <v>129</v>
      </c>
      <c r="F54" s="10" t="s">
        <v>130</v>
      </c>
      <c r="G54" s="9" t="s">
        <v>129</v>
      </c>
      <c r="H54" s="10" t="s">
        <v>130</v>
      </c>
      <c r="I54" s="9" t="s">
        <v>129</v>
      </c>
      <c r="J54" s="9" t="s">
        <v>129</v>
      </c>
      <c r="K54" s="9" t="s">
        <v>129</v>
      </c>
      <c r="L54" s="9" t="s">
        <v>129</v>
      </c>
    </row>
    <row r="55" customFormat="false" ht="15" hidden="false" customHeight="false" outlineLevel="0" collapsed="false">
      <c r="B55" s="7" t="s">
        <v>183</v>
      </c>
      <c r="C55" s="9" t="s">
        <v>129</v>
      </c>
      <c r="D55" s="10" t="s">
        <v>130</v>
      </c>
      <c r="E55" s="10" t="s">
        <v>130</v>
      </c>
      <c r="F55" s="11" t="s">
        <v>131</v>
      </c>
      <c r="G55" s="11" t="s">
        <v>131</v>
      </c>
      <c r="H55" s="9" t="s">
        <v>129</v>
      </c>
      <c r="I55" s="9" t="s">
        <v>129</v>
      </c>
      <c r="J55" s="11" t="s">
        <v>131</v>
      </c>
      <c r="K55" s="11" t="s">
        <v>131</v>
      </c>
      <c r="L55" s="9" t="s">
        <v>129</v>
      </c>
    </row>
    <row r="56" customFormat="false" ht="15" hidden="false" customHeight="false" outlineLevel="0" collapsed="false">
      <c r="B56" s="7" t="s">
        <v>184</v>
      </c>
      <c r="C56" s="9" t="s">
        <v>129</v>
      </c>
      <c r="D56" s="9" t="s">
        <v>129</v>
      </c>
      <c r="E56" s="9" t="s">
        <v>129</v>
      </c>
      <c r="F56" s="11" t="s">
        <v>131</v>
      </c>
      <c r="G56" s="11" t="s">
        <v>131</v>
      </c>
      <c r="H56" s="9" t="s">
        <v>129</v>
      </c>
      <c r="I56" s="9" t="s">
        <v>129</v>
      </c>
      <c r="J56" s="9" t="s">
        <v>129</v>
      </c>
      <c r="K56" s="10" t="s">
        <v>130</v>
      </c>
      <c r="L56" s="9" t="s">
        <v>129</v>
      </c>
    </row>
    <row r="57" customFormat="false" ht="15" hidden="false" customHeight="false" outlineLevel="0" collapsed="false">
      <c r="B57" s="7" t="s">
        <v>185</v>
      </c>
      <c r="C57" s="11" t="s">
        <v>131</v>
      </c>
      <c r="D57" s="11" t="s">
        <v>131</v>
      </c>
      <c r="E57" s="11" t="s">
        <v>131</v>
      </c>
      <c r="F57" s="11" t="s">
        <v>131</v>
      </c>
      <c r="G57" s="11" t="s">
        <v>131</v>
      </c>
      <c r="H57" s="11" t="s">
        <v>131</v>
      </c>
      <c r="I57" s="11" t="s">
        <v>131</v>
      </c>
      <c r="J57" s="11" t="s">
        <v>131</v>
      </c>
      <c r="K57" s="11" t="s">
        <v>131</v>
      </c>
      <c r="L57" s="10" t="s">
        <v>130</v>
      </c>
    </row>
    <row r="58" customFormat="false" ht="15" hidden="false" customHeight="false" outlineLevel="0" collapsed="false">
      <c r="B58" s="7" t="s">
        <v>186</v>
      </c>
      <c r="C58" s="9" t="s">
        <v>129</v>
      </c>
      <c r="D58" s="9" t="s">
        <v>129</v>
      </c>
      <c r="E58" s="9" t="s">
        <v>129</v>
      </c>
      <c r="F58" s="11" t="s">
        <v>131</v>
      </c>
      <c r="G58" s="11" t="s">
        <v>131</v>
      </c>
      <c r="H58" s="11" t="s">
        <v>131</v>
      </c>
      <c r="I58" s="9" t="s">
        <v>129</v>
      </c>
      <c r="J58" s="11" t="s">
        <v>131</v>
      </c>
      <c r="K58" s="9" t="s">
        <v>129</v>
      </c>
      <c r="L58" s="10" t="s">
        <v>130</v>
      </c>
    </row>
    <row r="59" customFormat="false" ht="15" hidden="false" customHeight="false" outlineLevel="0" collapsed="false">
      <c r="B59" s="7" t="s">
        <v>187</v>
      </c>
      <c r="C59" s="11" t="s">
        <v>131</v>
      </c>
      <c r="D59" s="9" t="s">
        <v>129</v>
      </c>
      <c r="E59" s="9" t="s">
        <v>129</v>
      </c>
      <c r="F59" s="11" t="s">
        <v>131</v>
      </c>
      <c r="G59" s="10" t="s">
        <v>130</v>
      </c>
      <c r="H59" s="9" t="s">
        <v>129</v>
      </c>
      <c r="I59" s="9" t="s">
        <v>129</v>
      </c>
      <c r="J59" s="11" t="s">
        <v>131</v>
      </c>
      <c r="K59" s="9" t="s">
        <v>129</v>
      </c>
      <c r="L59" s="9" t="s">
        <v>129</v>
      </c>
    </row>
    <row r="60" customFormat="false" ht="15" hidden="false" customHeight="false" outlineLevel="0" collapsed="false">
      <c r="A60" s="8" t="s">
        <v>188</v>
      </c>
      <c r="B60" s="8"/>
      <c r="C60" s="8"/>
      <c r="D60" s="8"/>
      <c r="E60" s="8"/>
      <c r="F60" s="8"/>
      <c r="G60" s="8"/>
      <c r="H60" s="8"/>
      <c r="I60" s="8"/>
      <c r="J60" s="8"/>
      <c r="K60" s="8"/>
      <c r="L60" s="8"/>
    </row>
    <row r="61" customFormat="false" ht="15" hidden="false" customHeight="false" outlineLevel="0" collapsed="false">
      <c r="B61" s="7" t="s">
        <v>189</v>
      </c>
      <c r="C61" s="9" t="s">
        <v>129</v>
      </c>
      <c r="D61" s="9" t="s">
        <v>129</v>
      </c>
      <c r="E61" s="9" t="s">
        <v>129</v>
      </c>
      <c r="F61" s="9" t="s">
        <v>129</v>
      </c>
      <c r="G61" s="11" t="s">
        <v>131</v>
      </c>
      <c r="H61" s="11" t="s">
        <v>131</v>
      </c>
      <c r="I61" s="9" t="s">
        <v>129</v>
      </c>
      <c r="J61" s="9" t="s">
        <v>129</v>
      </c>
      <c r="K61" s="9" t="s">
        <v>129</v>
      </c>
      <c r="L61" s="10" t="s">
        <v>130</v>
      </c>
    </row>
    <row r="62" customFormat="false" ht="15" hidden="false" customHeight="false" outlineLevel="0" collapsed="false">
      <c r="B62" s="7" t="s">
        <v>190</v>
      </c>
      <c r="C62" s="9" t="s">
        <v>129</v>
      </c>
      <c r="D62" s="9" t="s">
        <v>129</v>
      </c>
      <c r="E62" s="9" t="s">
        <v>129</v>
      </c>
      <c r="F62" s="9" t="s">
        <v>129</v>
      </c>
      <c r="G62" s="10" t="s">
        <v>130</v>
      </c>
      <c r="H62" s="11" t="s">
        <v>131</v>
      </c>
      <c r="I62" s="9" t="s">
        <v>129</v>
      </c>
      <c r="J62" s="9" t="s">
        <v>129</v>
      </c>
      <c r="K62" s="9" t="s">
        <v>129</v>
      </c>
      <c r="L62" s="9" t="s">
        <v>129</v>
      </c>
    </row>
    <row r="63" customFormat="false" ht="15" hidden="false" customHeight="false" outlineLevel="0" collapsed="false">
      <c r="B63" s="7" t="s">
        <v>191</v>
      </c>
      <c r="C63" s="9" t="s">
        <v>129</v>
      </c>
      <c r="D63" s="9" t="s">
        <v>129</v>
      </c>
      <c r="E63" s="9" t="s">
        <v>129</v>
      </c>
      <c r="F63" s="9" t="s">
        <v>129</v>
      </c>
      <c r="G63" s="11" t="s">
        <v>131</v>
      </c>
      <c r="H63" s="11" t="s">
        <v>131</v>
      </c>
      <c r="I63" s="9" t="s">
        <v>129</v>
      </c>
      <c r="J63" s="9" t="s">
        <v>129</v>
      </c>
      <c r="K63" s="9" t="s">
        <v>129</v>
      </c>
      <c r="L63" s="11" t="s">
        <v>131</v>
      </c>
    </row>
    <row r="64" customFormat="false" ht="15" hidden="false" customHeight="false" outlineLevel="0" collapsed="false">
      <c r="B64" s="7" t="s">
        <v>192</v>
      </c>
      <c r="C64" s="9" t="s">
        <v>129</v>
      </c>
      <c r="D64" s="9" t="s">
        <v>129</v>
      </c>
      <c r="E64" s="9" t="s">
        <v>129</v>
      </c>
      <c r="F64" s="9" t="s">
        <v>129</v>
      </c>
      <c r="G64" s="10" t="s">
        <v>130</v>
      </c>
      <c r="H64" s="9" t="s">
        <v>129</v>
      </c>
      <c r="I64" s="9" t="s">
        <v>129</v>
      </c>
      <c r="J64" s="10" t="s">
        <v>130</v>
      </c>
      <c r="K64" s="9" t="s">
        <v>129</v>
      </c>
      <c r="L64" s="9" t="s">
        <v>129</v>
      </c>
    </row>
    <row r="65" customFormat="false" ht="15" hidden="false" customHeight="false" outlineLevel="0" collapsed="false">
      <c r="B65" s="7" t="s">
        <v>193</v>
      </c>
      <c r="C65" s="11" t="s">
        <v>131</v>
      </c>
      <c r="D65" s="11" t="s">
        <v>131</v>
      </c>
      <c r="E65" s="10" t="s">
        <v>130</v>
      </c>
      <c r="F65" s="11" t="s">
        <v>131</v>
      </c>
      <c r="G65" s="11" t="s">
        <v>131</v>
      </c>
      <c r="H65" s="11" t="s">
        <v>131</v>
      </c>
      <c r="I65" s="10" t="s">
        <v>130</v>
      </c>
      <c r="J65" s="11" t="s">
        <v>131</v>
      </c>
      <c r="K65" s="11" t="s">
        <v>131</v>
      </c>
      <c r="L65" s="11" t="s">
        <v>131</v>
      </c>
    </row>
    <row r="66" customFormat="false" ht="15" hidden="false" customHeight="false" outlineLevel="0" collapsed="false">
      <c r="A66" s="8" t="s">
        <v>194</v>
      </c>
      <c r="B66" s="8"/>
      <c r="C66" s="8"/>
      <c r="D66" s="8"/>
      <c r="E66" s="8"/>
      <c r="F66" s="8"/>
      <c r="G66" s="8"/>
      <c r="H66" s="8"/>
      <c r="I66" s="8"/>
      <c r="J66" s="8"/>
      <c r="K66" s="8"/>
      <c r="L66" s="8"/>
    </row>
    <row r="67" customFormat="false" ht="15" hidden="false" customHeight="false" outlineLevel="0" collapsed="false">
      <c r="B67" s="7" t="s">
        <v>195</v>
      </c>
      <c r="C67" s="11" t="s">
        <v>131</v>
      </c>
      <c r="D67" s="11" t="s">
        <v>131</v>
      </c>
      <c r="E67" s="9" t="s">
        <v>129</v>
      </c>
      <c r="F67" s="9" t="s">
        <v>129</v>
      </c>
      <c r="G67" s="10" t="s">
        <v>130</v>
      </c>
      <c r="H67" s="9" t="s">
        <v>129</v>
      </c>
      <c r="I67" s="9" t="s">
        <v>129</v>
      </c>
      <c r="J67" s="10" t="s">
        <v>130</v>
      </c>
      <c r="K67" s="11" t="s">
        <v>131</v>
      </c>
      <c r="L67" s="11" t="s">
        <v>131</v>
      </c>
    </row>
    <row r="68" customFormat="false" ht="15" hidden="false" customHeight="false" outlineLevel="0" collapsed="false">
      <c r="B68" s="7" t="s">
        <v>196</v>
      </c>
      <c r="C68" s="10" t="s">
        <v>130</v>
      </c>
      <c r="D68" s="11" t="s">
        <v>131</v>
      </c>
      <c r="E68" s="9" t="s">
        <v>129</v>
      </c>
      <c r="F68" s="9" t="s">
        <v>129</v>
      </c>
      <c r="G68" s="11" t="s">
        <v>131</v>
      </c>
      <c r="H68" s="9" t="s">
        <v>129</v>
      </c>
      <c r="I68" s="9" t="s">
        <v>129</v>
      </c>
      <c r="J68" s="9" t="s">
        <v>129</v>
      </c>
      <c r="K68" s="11" t="s">
        <v>131</v>
      </c>
      <c r="L68" s="11" t="s">
        <v>131</v>
      </c>
    </row>
    <row r="69" customFormat="false" ht="15" hidden="false" customHeight="false" outlineLevel="0" collapsed="false">
      <c r="B69" s="7" t="s">
        <v>197</v>
      </c>
      <c r="C69" s="9" t="s">
        <v>129</v>
      </c>
      <c r="D69" s="9" t="s">
        <v>129</v>
      </c>
      <c r="E69" s="11" t="s">
        <v>131</v>
      </c>
      <c r="F69" s="9" t="s">
        <v>129</v>
      </c>
      <c r="G69" s="11" t="s">
        <v>131</v>
      </c>
      <c r="H69" s="9" t="s">
        <v>129</v>
      </c>
      <c r="I69" s="9" t="s">
        <v>129</v>
      </c>
      <c r="J69" s="9" t="s">
        <v>129</v>
      </c>
      <c r="K69" s="9" t="s">
        <v>129</v>
      </c>
      <c r="L69" s="11" t="s">
        <v>131</v>
      </c>
    </row>
    <row r="70" customFormat="false" ht="15" hidden="false" customHeight="false" outlineLevel="0" collapsed="false">
      <c r="B70" s="7" t="s">
        <v>198</v>
      </c>
      <c r="C70" s="11" t="s">
        <v>131</v>
      </c>
      <c r="D70" s="11" t="s">
        <v>131</v>
      </c>
      <c r="E70" s="11" t="s">
        <v>131</v>
      </c>
      <c r="F70" s="9" t="s">
        <v>129</v>
      </c>
      <c r="G70" s="9" t="s">
        <v>129</v>
      </c>
      <c r="H70" s="9" t="s">
        <v>129</v>
      </c>
      <c r="I70" s="9" t="s">
        <v>129</v>
      </c>
      <c r="J70" s="9" t="s">
        <v>129</v>
      </c>
      <c r="K70" s="9" t="s">
        <v>129</v>
      </c>
      <c r="L70" s="11" t="s">
        <v>131</v>
      </c>
    </row>
    <row r="71" customFormat="false" ht="15" hidden="false" customHeight="false" outlineLevel="0" collapsed="false">
      <c r="B71" s="7" t="s">
        <v>199</v>
      </c>
      <c r="C71" s="11" t="s">
        <v>131</v>
      </c>
      <c r="D71" s="11" t="s">
        <v>131</v>
      </c>
      <c r="E71" s="11" t="s">
        <v>131</v>
      </c>
      <c r="F71" s="9" t="s">
        <v>129</v>
      </c>
      <c r="G71" s="11" t="s">
        <v>131</v>
      </c>
      <c r="H71" s="10" t="s">
        <v>130</v>
      </c>
      <c r="I71" s="9" t="s">
        <v>129</v>
      </c>
      <c r="J71" s="9" t="s">
        <v>129</v>
      </c>
      <c r="K71" s="11" t="s">
        <v>131</v>
      </c>
      <c r="L71" s="11" t="s">
        <v>131</v>
      </c>
    </row>
    <row r="72" customFormat="false" ht="15" hidden="false" customHeight="false" outlineLevel="0" collapsed="false">
      <c r="B72" s="7" t="s">
        <v>200</v>
      </c>
      <c r="C72" s="10" t="s">
        <v>130</v>
      </c>
      <c r="D72" s="11" t="s">
        <v>131</v>
      </c>
      <c r="E72" s="9" t="s">
        <v>129</v>
      </c>
      <c r="F72" s="9" t="s">
        <v>129</v>
      </c>
      <c r="G72" s="11" t="s">
        <v>131</v>
      </c>
      <c r="H72" s="9" t="s">
        <v>129</v>
      </c>
      <c r="I72" s="9" t="s">
        <v>129</v>
      </c>
      <c r="J72" s="11" t="s">
        <v>131</v>
      </c>
      <c r="K72" s="11" t="s">
        <v>131</v>
      </c>
      <c r="L72" s="11" t="s">
        <v>131</v>
      </c>
    </row>
    <row r="73" customFormat="false" ht="15" hidden="false" customHeight="false" outlineLevel="0" collapsed="false">
      <c r="A73" s="8" t="s">
        <v>201</v>
      </c>
      <c r="B73" s="8"/>
      <c r="C73" s="8"/>
      <c r="D73" s="8"/>
      <c r="E73" s="8"/>
      <c r="F73" s="8"/>
      <c r="G73" s="8"/>
      <c r="H73" s="8"/>
      <c r="I73" s="8"/>
      <c r="J73" s="8"/>
      <c r="K73" s="8"/>
      <c r="L73" s="8"/>
    </row>
    <row r="74" customFormat="false" ht="15" hidden="false" customHeight="false" outlineLevel="0" collapsed="false">
      <c r="B74" s="7" t="s">
        <v>202</v>
      </c>
      <c r="C74" s="11" t="s">
        <v>131</v>
      </c>
      <c r="D74" s="11" t="s">
        <v>131</v>
      </c>
      <c r="E74" s="9" t="s">
        <v>129</v>
      </c>
      <c r="F74" s="9" t="s">
        <v>129</v>
      </c>
      <c r="G74" s="11" t="s">
        <v>131</v>
      </c>
      <c r="H74" s="9" t="s">
        <v>129</v>
      </c>
      <c r="I74" s="11" t="s">
        <v>131</v>
      </c>
      <c r="J74" s="9" t="s">
        <v>129</v>
      </c>
      <c r="K74" s="11" t="s">
        <v>131</v>
      </c>
      <c r="L74" s="9" t="s">
        <v>129</v>
      </c>
    </row>
    <row r="75" customFormat="false" ht="15" hidden="false" customHeight="false" outlineLevel="0" collapsed="false">
      <c r="B75" s="7" t="s">
        <v>203</v>
      </c>
      <c r="C75" s="11" t="s">
        <v>131</v>
      </c>
      <c r="D75" s="11" t="s">
        <v>131</v>
      </c>
      <c r="E75" s="9" t="s">
        <v>129</v>
      </c>
      <c r="F75" s="11" t="s">
        <v>131</v>
      </c>
      <c r="G75" s="11" t="s">
        <v>131</v>
      </c>
      <c r="H75" s="11" t="s">
        <v>131</v>
      </c>
      <c r="I75" s="11" t="s">
        <v>131</v>
      </c>
      <c r="J75" s="11" t="s">
        <v>131</v>
      </c>
      <c r="K75" s="11" t="s">
        <v>131</v>
      </c>
      <c r="L75" s="9" t="s">
        <v>129</v>
      </c>
    </row>
    <row r="76" customFormat="false" ht="15" hidden="false" customHeight="false" outlineLevel="0" collapsed="false">
      <c r="B76" s="7" t="s">
        <v>204</v>
      </c>
      <c r="C76" s="11" t="s">
        <v>131</v>
      </c>
      <c r="D76" s="11" t="s">
        <v>131</v>
      </c>
      <c r="E76" s="11" t="s">
        <v>131</v>
      </c>
      <c r="F76" s="9" t="s">
        <v>129</v>
      </c>
      <c r="G76" s="10" t="s">
        <v>130</v>
      </c>
      <c r="H76" s="9" t="s">
        <v>129</v>
      </c>
      <c r="I76" s="9" t="s">
        <v>129</v>
      </c>
      <c r="J76" s="9" t="s">
        <v>129</v>
      </c>
      <c r="K76" s="9" t="s">
        <v>129</v>
      </c>
      <c r="L76" s="9" t="s">
        <v>129</v>
      </c>
    </row>
    <row r="77" customFormat="false" ht="15" hidden="false" customHeight="false" outlineLevel="0" collapsed="false">
      <c r="B77" s="7" t="s">
        <v>205</v>
      </c>
      <c r="C77" s="11" t="s">
        <v>131</v>
      </c>
      <c r="D77" s="11" t="s">
        <v>131</v>
      </c>
      <c r="E77" s="9" t="s">
        <v>129</v>
      </c>
      <c r="F77" s="9" t="s">
        <v>129</v>
      </c>
      <c r="G77" s="9" t="s">
        <v>129</v>
      </c>
      <c r="H77" s="9" t="s">
        <v>129</v>
      </c>
      <c r="I77" s="9" t="s">
        <v>129</v>
      </c>
      <c r="J77" s="9" t="s">
        <v>129</v>
      </c>
      <c r="K77" s="10" t="s">
        <v>130</v>
      </c>
      <c r="L77" s="9" t="s">
        <v>129</v>
      </c>
    </row>
    <row r="78" customFormat="false" ht="15" hidden="false" customHeight="false" outlineLevel="0" collapsed="false">
      <c r="A78" s="8" t="s">
        <v>206</v>
      </c>
      <c r="B78" s="8"/>
      <c r="C78" s="8"/>
      <c r="D78" s="8"/>
      <c r="E78" s="8"/>
      <c r="F78" s="8"/>
      <c r="G78" s="8"/>
      <c r="H78" s="8"/>
      <c r="I78" s="8"/>
      <c r="J78" s="8"/>
      <c r="K78" s="8"/>
      <c r="L78" s="8"/>
    </row>
    <row r="79" customFormat="false" ht="15" hidden="false" customHeight="false" outlineLevel="0" collapsed="false">
      <c r="B79" s="7" t="s">
        <v>207</v>
      </c>
      <c r="C79" s="9" t="s">
        <v>129</v>
      </c>
      <c r="D79" s="11" t="s">
        <v>131</v>
      </c>
      <c r="E79" s="11" t="s">
        <v>131</v>
      </c>
      <c r="F79" s="9" t="s">
        <v>129</v>
      </c>
      <c r="G79" s="11" t="s">
        <v>131</v>
      </c>
      <c r="H79" s="11" t="s">
        <v>131</v>
      </c>
      <c r="I79" s="9" t="s">
        <v>129</v>
      </c>
      <c r="J79" s="9" t="s">
        <v>129</v>
      </c>
      <c r="K79" s="9" t="s">
        <v>129</v>
      </c>
      <c r="L79" s="9" t="s">
        <v>129</v>
      </c>
    </row>
    <row r="80" customFormat="false" ht="15" hidden="false" customHeight="false" outlineLevel="0" collapsed="false">
      <c r="B80" s="7" t="s">
        <v>208</v>
      </c>
      <c r="C80" s="9" t="s">
        <v>129</v>
      </c>
      <c r="D80" s="9" t="s">
        <v>129</v>
      </c>
      <c r="E80" s="10" t="s">
        <v>130</v>
      </c>
      <c r="F80" s="9" t="s">
        <v>129</v>
      </c>
      <c r="G80" s="9" t="s">
        <v>129</v>
      </c>
      <c r="H80" s="11" t="s">
        <v>131</v>
      </c>
      <c r="I80" s="9" t="s">
        <v>129</v>
      </c>
      <c r="J80" s="9" t="s">
        <v>129</v>
      </c>
      <c r="K80" s="10" t="s">
        <v>130</v>
      </c>
      <c r="L80" s="11" t="s">
        <v>131</v>
      </c>
    </row>
    <row r="81" customFormat="false" ht="15" hidden="false" customHeight="false" outlineLevel="0" collapsed="false">
      <c r="B81" s="7" t="s">
        <v>209</v>
      </c>
      <c r="C81" s="11" t="s">
        <v>131</v>
      </c>
      <c r="D81" s="11" t="s">
        <v>131</v>
      </c>
      <c r="E81" s="10" t="s">
        <v>130</v>
      </c>
      <c r="F81" s="11" t="s">
        <v>131</v>
      </c>
      <c r="G81" s="9" t="s">
        <v>129</v>
      </c>
      <c r="H81" s="9" t="s">
        <v>129</v>
      </c>
      <c r="I81" s="9" t="s">
        <v>129</v>
      </c>
      <c r="J81" s="9" t="s">
        <v>129</v>
      </c>
      <c r="K81" s="9" t="s">
        <v>129</v>
      </c>
      <c r="L81" s="9" t="s">
        <v>129</v>
      </c>
    </row>
    <row r="82" customFormat="false" ht="15" hidden="false" customHeight="false" outlineLevel="0" collapsed="false">
      <c r="B82" s="7" t="s">
        <v>210</v>
      </c>
      <c r="C82" s="10" t="s">
        <v>130</v>
      </c>
      <c r="D82" s="11" t="s">
        <v>131</v>
      </c>
      <c r="E82" s="9" t="s">
        <v>129</v>
      </c>
      <c r="F82" s="11" t="s">
        <v>131</v>
      </c>
      <c r="G82" s="9" t="s">
        <v>129</v>
      </c>
      <c r="H82" s="9" t="s">
        <v>129</v>
      </c>
      <c r="I82" s="9" t="s">
        <v>129</v>
      </c>
      <c r="J82" s="9" t="s">
        <v>129</v>
      </c>
      <c r="K82" s="10" t="s">
        <v>130</v>
      </c>
      <c r="L82" s="9" t="s">
        <v>129</v>
      </c>
    </row>
    <row r="83" customFormat="false" ht="15" hidden="false" customHeight="false" outlineLevel="0" collapsed="false">
      <c r="B83" s="7" t="s">
        <v>211</v>
      </c>
      <c r="C83" s="11" t="s">
        <v>131</v>
      </c>
      <c r="D83" s="11" t="s">
        <v>131</v>
      </c>
      <c r="E83" s="11" t="s">
        <v>131</v>
      </c>
      <c r="F83" s="9" t="s">
        <v>129</v>
      </c>
      <c r="G83" s="10" t="s">
        <v>130</v>
      </c>
      <c r="H83" s="9" t="s">
        <v>129</v>
      </c>
      <c r="I83" s="9" t="s">
        <v>129</v>
      </c>
      <c r="J83" s="9" t="s">
        <v>129</v>
      </c>
      <c r="K83" s="9" t="s">
        <v>129</v>
      </c>
      <c r="L83" s="10" t="s">
        <v>130</v>
      </c>
    </row>
    <row r="84" customFormat="false" ht="15" hidden="false" customHeight="false" outlineLevel="0" collapsed="false">
      <c r="A84" s="8" t="s">
        <v>212</v>
      </c>
      <c r="B84" s="8"/>
      <c r="C84" s="8"/>
      <c r="D84" s="8"/>
      <c r="E84" s="8"/>
      <c r="F84" s="8"/>
      <c r="G84" s="8"/>
      <c r="H84" s="8"/>
      <c r="I84" s="8"/>
      <c r="J84" s="8"/>
      <c r="K84" s="8"/>
      <c r="L84" s="8"/>
    </row>
    <row r="85" customFormat="false" ht="15" hidden="false" customHeight="false" outlineLevel="0" collapsed="false">
      <c r="B85" s="7" t="s">
        <v>213</v>
      </c>
      <c r="C85" s="10" t="s">
        <v>130</v>
      </c>
      <c r="D85" s="11" t="s">
        <v>131</v>
      </c>
      <c r="E85" s="9" t="s">
        <v>129</v>
      </c>
      <c r="F85" s="9" t="s">
        <v>129</v>
      </c>
      <c r="G85" s="9" t="s">
        <v>129</v>
      </c>
      <c r="H85" s="9" t="s">
        <v>129</v>
      </c>
      <c r="I85" s="9" t="s">
        <v>129</v>
      </c>
      <c r="J85" s="9" t="s">
        <v>129</v>
      </c>
      <c r="K85" s="9" t="s">
        <v>129</v>
      </c>
      <c r="L85" s="9" t="s">
        <v>129</v>
      </c>
    </row>
    <row r="86" customFormat="false" ht="15" hidden="false" customHeight="false" outlineLevel="0" collapsed="false">
      <c r="B86" s="7" t="s">
        <v>214</v>
      </c>
      <c r="C86" s="10" t="s">
        <v>130</v>
      </c>
      <c r="D86" s="11" t="s">
        <v>131</v>
      </c>
      <c r="E86" s="9" t="s">
        <v>129</v>
      </c>
      <c r="F86" s="9" t="s">
        <v>129</v>
      </c>
      <c r="G86" s="9" t="s">
        <v>129</v>
      </c>
      <c r="H86" s="9" t="s">
        <v>129</v>
      </c>
      <c r="I86" s="9" t="s">
        <v>129</v>
      </c>
      <c r="J86" s="9" t="s">
        <v>129</v>
      </c>
      <c r="K86" s="9" t="s">
        <v>129</v>
      </c>
      <c r="L86" s="9" t="s">
        <v>129</v>
      </c>
    </row>
    <row r="87" customFormat="false" ht="15" hidden="false" customHeight="false" outlineLevel="0" collapsed="false">
      <c r="B87" s="7" t="s">
        <v>215</v>
      </c>
      <c r="C87" s="9" t="s">
        <v>129</v>
      </c>
      <c r="D87" s="11" t="s">
        <v>131</v>
      </c>
      <c r="E87" s="9" t="s">
        <v>129</v>
      </c>
      <c r="F87" s="9" t="s">
        <v>129</v>
      </c>
      <c r="G87" s="9" t="s">
        <v>129</v>
      </c>
      <c r="H87" s="9" t="s">
        <v>129</v>
      </c>
      <c r="I87" s="9" t="s">
        <v>129</v>
      </c>
      <c r="J87" s="9" t="s">
        <v>129</v>
      </c>
      <c r="K87" s="9" t="s">
        <v>129</v>
      </c>
      <c r="L87" s="9" t="s">
        <v>129</v>
      </c>
    </row>
    <row r="88" customFormat="false" ht="15" hidden="false" customHeight="false" outlineLevel="0" collapsed="false">
      <c r="B88" s="7" t="s">
        <v>216</v>
      </c>
      <c r="C88" s="11" t="s">
        <v>131</v>
      </c>
      <c r="D88" s="11" t="s">
        <v>131</v>
      </c>
      <c r="E88" s="10" t="s">
        <v>130</v>
      </c>
      <c r="F88" s="9" t="s">
        <v>129</v>
      </c>
      <c r="G88" s="9" t="s">
        <v>129</v>
      </c>
      <c r="H88" s="9" t="s">
        <v>129</v>
      </c>
      <c r="I88" s="9" t="s">
        <v>129</v>
      </c>
      <c r="J88" s="9" t="s">
        <v>129</v>
      </c>
      <c r="K88" s="9" t="s">
        <v>129</v>
      </c>
      <c r="L88" s="10" t="s">
        <v>130</v>
      </c>
    </row>
    <row r="89" customFormat="false" ht="15" hidden="false" customHeight="false" outlineLevel="0" collapsed="false">
      <c r="A89" s="8" t="s">
        <v>217</v>
      </c>
      <c r="B89" s="8"/>
      <c r="C89" s="8"/>
      <c r="D89" s="8"/>
      <c r="E89" s="8"/>
      <c r="F89" s="8"/>
      <c r="G89" s="8"/>
      <c r="H89" s="8"/>
      <c r="I89" s="8"/>
      <c r="J89" s="8"/>
      <c r="K89" s="8"/>
      <c r="L89" s="8"/>
    </row>
    <row r="90" customFormat="false" ht="15" hidden="false" customHeight="false" outlineLevel="0" collapsed="false">
      <c r="B90" s="7" t="s">
        <v>218</v>
      </c>
      <c r="C90" s="11" t="s">
        <v>131</v>
      </c>
      <c r="D90" s="11" t="s">
        <v>131</v>
      </c>
      <c r="E90" s="11" t="s">
        <v>131</v>
      </c>
      <c r="F90" s="9" t="s">
        <v>129</v>
      </c>
      <c r="G90" s="11" t="s">
        <v>131</v>
      </c>
      <c r="H90" s="11" t="s">
        <v>131</v>
      </c>
      <c r="I90" s="11" t="s">
        <v>131</v>
      </c>
      <c r="J90" s="11" t="s">
        <v>131</v>
      </c>
      <c r="K90" s="11" t="s">
        <v>131</v>
      </c>
      <c r="L90" s="11" t="s">
        <v>131</v>
      </c>
    </row>
    <row r="91" customFormat="false" ht="15" hidden="false" customHeight="false" outlineLevel="0" collapsed="false">
      <c r="B91" s="7" t="s">
        <v>219</v>
      </c>
      <c r="C91" s="11" t="s">
        <v>131</v>
      </c>
      <c r="D91" s="11" t="s">
        <v>131</v>
      </c>
      <c r="E91" s="11" t="s">
        <v>131</v>
      </c>
      <c r="F91" s="9" t="s">
        <v>129</v>
      </c>
      <c r="G91" s="11" t="s">
        <v>131</v>
      </c>
      <c r="H91" s="11" t="s">
        <v>131</v>
      </c>
      <c r="I91" s="11" t="s">
        <v>131</v>
      </c>
      <c r="J91" s="11" t="s">
        <v>131</v>
      </c>
      <c r="K91" s="11" t="s">
        <v>131</v>
      </c>
      <c r="L91" s="11" t="s">
        <v>131</v>
      </c>
    </row>
    <row r="92" customFormat="false" ht="15" hidden="false" customHeight="false" outlineLevel="0" collapsed="false">
      <c r="B92" s="7" t="s">
        <v>220</v>
      </c>
      <c r="C92" s="10" t="s">
        <v>130</v>
      </c>
      <c r="D92" s="10" t="s">
        <v>130</v>
      </c>
      <c r="E92" s="9" t="s">
        <v>129</v>
      </c>
      <c r="F92" s="11" t="s">
        <v>131</v>
      </c>
      <c r="G92" s="11" t="s">
        <v>131</v>
      </c>
      <c r="H92" s="9" t="s">
        <v>129</v>
      </c>
      <c r="I92" s="9" t="s">
        <v>129</v>
      </c>
      <c r="J92" s="9" t="s">
        <v>129</v>
      </c>
      <c r="K92" s="11" t="s">
        <v>131</v>
      </c>
      <c r="L92" s="9" t="s">
        <v>129</v>
      </c>
    </row>
    <row r="93" customFormat="false" ht="15" hidden="false" customHeight="false" outlineLevel="0" collapsed="false">
      <c r="B93" s="7" t="s">
        <v>221</v>
      </c>
      <c r="C93" s="11" t="s">
        <v>131</v>
      </c>
      <c r="D93" s="11" t="s">
        <v>131</v>
      </c>
      <c r="E93" s="10" t="s">
        <v>130</v>
      </c>
      <c r="F93" s="11" t="s">
        <v>131</v>
      </c>
      <c r="G93" s="11" t="s">
        <v>131</v>
      </c>
      <c r="H93" s="11" t="s">
        <v>131</v>
      </c>
      <c r="I93" s="11" t="s">
        <v>131</v>
      </c>
      <c r="J93" s="11" t="s">
        <v>131</v>
      </c>
      <c r="K93" s="10" t="s">
        <v>130</v>
      </c>
      <c r="L93" s="11" t="s">
        <v>131</v>
      </c>
    </row>
    <row r="94" customFormat="false" ht="15" hidden="false" customHeight="false" outlineLevel="0" collapsed="false">
      <c r="B94" s="7" t="s">
        <v>222</v>
      </c>
      <c r="C94" s="11" t="s">
        <v>131</v>
      </c>
      <c r="D94" s="9" t="s">
        <v>129</v>
      </c>
      <c r="E94" s="9" t="s">
        <v>129</v>
      </c>
      <c r="F94" s="9" t="s">
        <v>129</v>
      </c>
      <c r="G94" s="9" t="s">
        <v>129</v>
      </c>
      <c r="H94" s="9" t="s">
        <v>129</v>
      </c>
      <c r="I94" s="9" t="s">
        <v>129</v>
      </c>
      <c r="J94" s="9" t="s">
        <v>129</v>
      </c>
      <c r="K94" s="9" t="s">
        <v>129</v>
      </c>
      <c r="L94" s="11" t="s">
        <v>131</v>
      </c>
    </row>
    <row r="95" customFormat="false" ht="15" hidden="false" customHeight="false" outlineLevel="0" collapsed="false">
      <c r="A95" s="8" t="s">
        <v>223</v>
      </c>
      <c r="B95" s="8"/>
      <c r="C95" s="8"/>
      <c r="D95" s="8"/>
      <c r="E95" s="8"/>
      <c r="F95" s="8"/>
      <c r="G95" s="8"/>
      <c r="H95" s="8"/>
      <c r="I95" s="8"/>
      <c r="J95" s="8"/>
      <c r="K95" s="8"/>
      <c r="L95" s="8"/>
    </row>
    <row r="96" customFormat="false" ht="15" hidden="false" customHeight="false" outlineLevel="0" collapsed="false">
      <c r="B96" s="7" t="s">
        <v>224</v>
      </c>
      <c r="C96" s="9" t="s">
        <v>129</v>
      </c>
      <c r="D96" s="9" t="s">
        <v>129</v>
      </c>
      <c r="E96" s="9" t="s">
        <v>129</v>
      </c>
      <c r="F96" s="10" t="s">
        <v>130</v>
      </c>
      <c r="G96" s="9" t="s">
        <v>129</v>
      </c>
      <c r="H96" s="9" t="s">
        <v>129</v>
      </c>
      <c r="I96" s="11" t="s">
        <v>131</v>
      </c>
      <c r="J96" s="9" t="s">
        <v>129</v>
      </c>
      <c r="K96" s="10" t="s">
        <v>130</v>
      </c>
      <c r="L96" s="9" t="s">
        <v>129</v>
      </c>
    </row>
    <row r="97" customFormat="false" ht="15" hidden="false" customHeight="false" outlineLevel="0" collapsed="false">
      <c r="B97" s="7" t="s">
        <v>225</v>
      </c>
      <c r="C97" s="9" t="s">
        <v>129</v>
      </c>
      <c r="D97" s="9" t="s">
        <v>129</v>
      </c>
      <c r="E97" s="9" t="s">
        <v>129</v>
      </c>
      <c r="F97" s="10" t="s">
        <v>130</v>
      </c>
      <c r="G97" s="9" t="s">
        <v>129</v>
      </c>
      <c r="H97" s="9" t="s">
        <v>129</v>
      </c>
      <c r="I97" s="9" t="s">
        <v>129</v>
      </c>
      <c r="J97" s="9" t="s">
        <v>129</v>
      </c>
      <c r="K97" s="9" t="s">
        <v>129</v>
      </c>
      <c r="L97" s="9" t="s">
        <v>129</v>
      </c>
    </row>
    <row r="98" customFormat="false" ht="15" hidden="false" customHeight="false" outlineLevel="0" collapsed="false">
      <c r="B98" s="7" t="s">
        <v>226</v>
      </c>
      <c r="C98" s="9" t="s">
        <v>129</v>
      </c>
      <c r="D98" s="9" t="s">
        <v>129</v>
      </c>
      <c r="E98" s="9" t="s">
        <v>129</v>
      </c>
      <c r="F98" s="11" t="s">
        <v>131</v>
      </c>
      <c r="G98" s="9" t="s">
        <v>129</v>
      </c>
      <c r="H98" s="9" t="s">
        <v>129</v>
      </c>
      <c r="I98" s="11" t="s">
        <v>131</v>
      </c>
      <c r="J98" s="9" t="s">
        <v>129</v>
      </c>
      <c r="K98" s="10" t="s">
        <v>130</v>
      </c>
      <c r="L98" s="9" t="s">
        <v>129</v>
      </c>
    </row>
    <row r="101" customFormat="false" ht="15" hidden="false" customHeight="false" outlineLevel="0" collapsed="false">
      <c r="B101" s="12" t="s">
        <v>227</v>
      </c>
      <c r="C101" s="13" t="s">
        <v>228</v>
      </c>
      <c r="D101" s="14" t="s">
        <v>229</v>
      </c>
      <c r="E101" s="15" t="s">
        <v>230</v>
      </c>
      <c r="F101" s="16" t="s">
        <v>231</v>
      </c>
    </row>
  </sheetData>
  <mergeCells count="14">
    <mergeCell ref="A2:L2"/>
    <mergeCell ref="A13:L13"/>
    <mergeCell ref="A22:L22"/>
    <mergeCell ref="A29:L29"/>
    <mergeCell ref="A35:L35"/>
    <mergeCell ref="A42:L42"/>
    <mergeCell ref="A48:L48"/>
    <mergeCell ref="A60:L60"/>
    <mergeCell ref="A66:L66"/>
    <mergeCell ref="A73:L73"/>
    <mergeCell ref="A78:L78"/>
    <mergeCell ref="A84:L84"/>
    <mergeCell ref="A89:L89"/>
    <mergeCell ref="A95:L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22"/>
    <col collapsed="false" customWidth="true" hidden="false" outlineLevel="0" max="6" min="6" style="0" width="28"/>
  </cols>
  <sheetData>
    <row r="1" customFormat="false" ht="31.5" hidden="false" customHeight="true" outlineLevel="0" collapsed="false">
      <c r="A1" s="5" t="s">
        <v>121</v>
      </c>
      <c r="B1" s="5" t="s">
        <v>232</v>
      </c>
      <c r="C1" s="5" t="s">
        <v>233</v>
      </c>
      <c r="D1" s="5" t="s">
        <v>234</v>
      </c>
      <c r="E1" s="5" t="s">
        <v>235</v>
      </c>
      <c r="F1" s="5" t="s">
        <v>236</v>
      </c>
    </row>
    <row r="2" customFormat="false" ht="15" hidden="false" customHeight="false" outlineLevel="0" collapsed="false">
      <c r="A2" s="17" t="s">
        <v>127</v>
      </c>
      <c r="B2" s="17"/>
      <c r="C2" s="17"/>
      <c r="D2" s="17"/>
      <c r="E2" s="17"/>
      <c r="F2" s="17"/>
    </row>
    <row r="3" customFormat="false" ht="15" hidden="false" customHeight="false" outlineLevel="0" collapsed="false">
      <c r="A3" s="7" t="s">
        <v>128</v>
      </c>
      <c r="B3" s="18" t="n">
        <f aca="false">COUNTIF('Feature Matrix'!C3:L3,"Y")</f>
        <v>1</v>
      </c>
      <c r="C3" s="18" t="n">
        <f aca="false">COUNTIF('Feature Matrix'!C3:L3,"P")</f>
        <v>1</v>
      </c>
      <c r="D3" s="18" t="n">
        <f aca="false">COUNTIF('Feature Matrix'!C3:L3,"N")</f>
        <v>8</v>
      </c>
      <c r="E3" s="19" t="n">
        <f aca="false">(B3+0.5*C3)/10</f>
        <v>0.15</v>
      </c>
      <c r="F3" s="18" t="str">
        <f aca="false">IF(E3&lt;0.3,"High — underserved",IF(E3&lt;=0.7,"Medium — differentiator","Low — table stakes"))</f>
        <v>High — underserved</v>
      </c>
    </row>
    <row r="4" customFormat="false" ht="15" hidden="false" customHeight="false" outlineLevel="0" collapsed="false">
      <c r="A4" s="7" t="s">
        <v>132</v>
      </c>
      <c r="B4" s="18" t="n">
        <f aca="false">COUNTIF('Feature Matrix'!C4:L4,"Y")</f>
        <v>10</v>
      </c>
      <c r="C4" s="18" t="n">
        <f aca="false">COUNTIF('Feature Matrix'!C4:L4,"P")</f>
        <v>0</v>
      </c>
      <c r="D4" s="18" t="n">
        <f aca="false">COUNTIF('Feature Matrix'!C4:L4,"N")</f>
        <v>0</v>
      </c>
      <c r="E4" s="19" t="n">
        <f aca="false">(B4+0.5*C4)/10</f>
        <v>1</v>
      </c>
      <c r="F4" s="18" t="str">
        <f aca="false">IF(E4&lt;0.3,"High — underserved",IF(E4&lt;=0.7,"Medium — differentiator","Low — table stakes"))</f>
        <v>Low — table stakes</v>
      </c>
    </row>
    <row r="5" customFormat="false" ht="15" hidden="false" customHeight="false" outlineLevel="0" collapsed="false">
      <c r="A5" s="7" t="s">
        <v>133</v>
      </c>
      <c r="B5" s="18" t="n">
        <f aca="false">COUNTIF('Feature Matrix'!C5:L5,"Y")</f>
        <v>10</v>
      </c>
      <c r="C5" s="18" t="n">
        <f aca="false">COUNTIF('Feature Matrix'!C5:L5,"P")</f>
        <v>0</v>
      </c>
      <c r="D5" s="18" t="n">
        <f aca="false">COUNTIF('Feature Matrix'!C5:L5,"N")</f>
        <v>0</v>
      </c>
      <c r="E5" s="19" t="n">
        <f aca="false">(B5+0.5*C5)/10</f>
        <v>1</v>
      </c>
      <c r="F5" s="18" t="str">
        <f aca="false">IF(E5&lt;0.3,"High — underserved",IF(E5&lt;=0.7,"Medium — differentiator","Low — table stakes"))</f>
        <v>Low — table stakes</v>
      </c>
    </row>
    <row r="6" customFormat="false" ht="15" hidden="false" customHeight="false" outlineLevel="0" collapsed="false">
      <c r="A6" s="7" t="s">
        <v>134</v>
      </c>
      <c r="B6" s="18" t="n">
        <f aca="false">COUNTIF('Feature Matrix'!C6:L6,"Y")</f>
        <v>7</v>
      </c>
      <c r="C6" s="18" t="n">
        <f aca="false">COUNTIF('Feature Matrix'!C6:L6,"P")</f>
        <v>0</v>
      </c>
      <c r="D6" s="18" t="n">
        <f aca="false">COUNTIF('Feature Matrix'!C6:L6,"N")</f>
        <v>3</v>
      </c>
      <c r="E6" s="19" t="n">
        <f aca="false">(B6+0.5*C6)/10</f>
        <v>0.7</v>
      </c>
      <c r="F6" s="18" t="str">
        <f aca="false">IF(E6&lt;0.3,"High — underserved",IF(E6&lt;=0.7,"Medium — differentiator","Low — table stakes"))</f>
        <v>Medium — differentiator</v>
      </c>
    </row>
    <row r="7" customFormat="false" ht="15" hidden="false" customHeight="false" outlineLevel="0" collapsed="false">
      <c r="A7" s="7" t="s">
        <v>135</v>
      </c>
      <c r="B7" s="18" t="n">
        <f aca="false">COUNTIF('Feature Matrix'!C7:L7,"Y")</f>
        <v>6</v>
      </c>
      <c r="C7" s="18" t="n">
        <f aca="false">COUNTIF('Feature Matrix'!C7:L7,"P")</f>
        <v>1</v>
      </c>
      <c r="D7" s="18" t="n">
        <f aca="false">COUNTIF('Feature Matrix'!C7:L7,"N")</f>
        <v>3</v>
      </c>
      <c r="E7" s="19" t="n">
        <f aca="false">(B7+0.5*C7)/10</f>
        <v>0.65</v>
      </c>
      <c r="F7" s="18" t="str">
        <f aca="false">IF(E7&lt;0.3,"High — underserved",IF(E7&lt;=0.7,"Medium — differentiator","Low — table stakes"))</f>
        <v>Medium — differentiator</v>
      </c>
    </row>
    <row r="8" customFormat="false" ht="15" hidden="false" customHeight="false" outlineLevel="0" collapsed="false">
      <c r="A8" s="7" t="s">
        <v>136</v>
      </c>
      <c r="B8" s="18" t="n">
        <f aca="false">COUNTIF('Feature Matrix'!C8:L8,"Y")</f>
        <v>8</v>
      </c>
      <c r="C8" s="18" t="n">
        <f aca="false">COUNTIF('Feature Matrix'!C8:L8,"P")</f>
        <v>0</v>
      </c>
      <c r="D8" s="18" t="n">
        <f aca="false">COUNTIF('Feature Matrix'!C8:L8,"N")</f>
        <v>2</v>
      </c>
      <c r="E8" s="19" t="n">
        <f aca="false">(B8+0.5*C8)/10</f>
        <v>0.8</v>
      </c>
      <c r="F8" s="18" t="str">
        <f aca="false">IF(E8&lt;0.3,"High — underserved",IF(E8&lt;=0.7,"Medium — differentiator","Low — table stakes"))</f>
        <v>Low — table stakes</v>
      </c>
    </row>
    <row r="9" customFormat="false" ht="15" hidden="false" customHeight="false" outlineLevel="0" collapsed="false">
      <c r="A9" s="7" t="s">
        <v>137</v>
      </c>
      <c r="B9" s="18" t="n">
        <f aca="false">COUNTIF('Feature Matrix'!C9:L9,"Y")</f>
        <v>8</v>
      </c>
      <c r="C9" s="18" t="n">
        <f aca="false">COUNTIF('Feature Matrix'!C9:L9,"P")</f>
        <v>1</v>
      </c>
      <c r="D9" s="18" t="n">
        <f aca="false">COUNTIF('Feature Matrix'!C9:L9,"N")</f>
        <v>1</v>
      </c>
      <c r="E9" s="19" t="n">
        <f aca="false">(B9+0.5*C9)/10</f>
        <v>0.85</v>
      </c>
      <c r="F9" s="18" t="str">
        <f aca="false">IF(E9&lt;0.3,"High — underserved",IF(E9&lt;=0.7,"Medium — differentiator","Low — table stakes"))</f>
        <v>Low — table stakes</v>
      </c>
    </row>
    <row r="10" customFormat="false" ht="15" hidden="false" customHeight="false" outlineLevel="0" collapsed="false">
      <c r="A10" s="7" t="s">
        <v>138</v>
      </c>
      <c r="B10" s="18" t="n">
        <f aca="false">COUNTIF('Feature Matrix'!C10:L10,"Y")</f>
        <v>10</v>
      </c>
      <c r="C10" s="18" t="n">
        <f aca="false">COUNTIF('Feature Matrix'!C10:L10,"P")</f>
        <v>0</v>
      </c>
      <c r="D10" s="18" t="n">
        <f aca="false">COUNTIF('Feature Matrix'!C10:L10,"N")</f>
        <v>0</v>
      </c>
      <c r="E10" s="19" t="n">
        <f aca="false">(B10+0.5*C10)/10</f>
        <v>1</v>
      </c>
      <c r="F10" s="18" t="str">
        <f aca="false">IF(E10&lt;0.3,"High — underserved",IF(E10&lt;=0.7,"Medium — differentiator","Low — table stakes"))</f>
        <v>Low — table stakes</v>
      </c>
    </row>
    <row r="11" customFormat="false" ht="15" hidden="false" customHeight="false" outlineLevel="0" collapsed="false">
      <c r="A11" s="7" t="s">
        <v>139</v>
      </c>
      <c r="B11" s="18" t="n">
        <f aca="false">COUNTIF('Feature Matrix'!C11:L11,"Y")</f>
        <v>6</v>
      </c>
      <c r="C11" s="18" t="n">
        <f aca="false">COUNTIF('Feature Matrix'!C11:L11,"P")</f>
        <v>3</v>
      </c>
      <c r="D11" s="18" t="n">
        <f aca="false">COUNTIF('Feature Matrix'!C11:L11,"N")</f>
        <v>1</v>
      </c>
      <c r="E11" s="19" t="n">
        <f aca="false">(B11+0.5*C11)/10</f>
        <v>0.75</v>
      </c>
      <c r="F11" s="18" t="str">
        <f aca="false">IF(E11&lt;0.3,"High — underserved",IF(E11&lt;=0.7,"Medium — differentiator","Low — table stakes"))</f>
        <v>Low — table stakes</v>
      </c>
    </row>
    <row r="12" customFormat="false" ht="15" hidden="false" customHeight="false" outlineLevel="0" collapsed="false">
      <c r="A12" s="7" t="s">
        <v>140</v>
      </c>
      <c r="B12" s="18" t="n">
        <f aca="false">COUNTIF('Feature Matrix'!C12:L12,"Y")</f>
        <v>8</v>
      </c>
      <c r="C12" s="18" t="n">
        <f aca="false">COUNTIF('Feature Matrix'!C12:L12,"P")</f>
        <v>2</v>
      </c>
      <c r="D12" s="18" t="n">
        <f aca="false">COUNTIF('Feature Matrix'!C12:L12,"N")</f>
        <v>0</v>
      </c>
      <c r="E12" s="19" t="n">
        <f aca="false">(B12+0.5*C12)/10</f>
        <v>0.9</v>
      </c>
      <c r="F12" s="18" t="str">
        <f aca="false">IF(E12&lt;0.3,"High — underserved",IF(E12&lt;=0.7,"Medium — differentiator","Low — table stakes"))</f>
        <v>Low — table stakes</v>
      </c>
    </row>
    <row r="13" customFormat="false" ht="15" hidden="false" customHeight="false" outlineLevel="0" collapsed="false">
      <c r="A13" s="17" t="s">
        <v>141</v>
      </c>
      <c r="B13" s="17"/>
      <c r="C13" s="17"/>
      <c r="D13" s="17"/>
      <c r="E13" s="17"/>
      <c r="F13" s="17"/>
    </row>
    <row r="14" customFormat="false" ht="15" hidden="false" customHeight="false" outlineLevel="0" collapsed="false">
      <c r="A14" s="7" t="s">
        <v>142</v>
      </c>
      <c r="B14" s="18" t="n">
        <f aca="false">COUNTIF('Feature Matrix'!C14:L14,"Y")</f>
        <v>9</v>
      </c>
      <c r="C14" s="18" t="n">
        <f aca="false">COUNTIF('Feature Matrix'!C14:L14,"P")</f>
        <v>1</v>
      </c>
      <c r="D14" s="18" t="n">
        <f aca="false">COUNTIF('Feature Matrix'!C14:L14,"N")</f>
        <v>0</v>
      </c>
      <c r="E14" s="19" t="n">
        <f aca="false">(B14+0.5*C14)/10</f>
        <v>0.95</v>
      </c>
      <c r="F14" s="18" t="str">
        <f aca="false">IF(E14&lt;0.3,"High — underserved",IF(E14&lt;=0.7,"Medium — differentiator","Low — table stakes"))</f>
        <v>Low — table stakes</v>
      </c>
    </row>
    <row r="15" customFormat="false" ht="15" hidden="false" customHeight="false" outlineLevel="0" collapsed="false">
      <c r="A15" s="7" t="s">
        <v>143</v>
      </c>
      <c r="B15" s="18" t="n">
        <f aca="false">COUNTIF('Feature Matrix'!C15:L15,"Y")</f>
        <v>0</v>
      </c>
      <c r="C15" s="18" t="n">
        <f aca="false">COUNTIF('Feature Matrix'!C15:L15,"P")</f>
        <v>1</v>
      </c>
      <c r="D15" s="18" t="n">
        <f aca="false">COUNTIF('Feature Matrix'!C15:L15,"N")</f>
        <v>9</v>
      </c>
      <c r="E15" s="19" t="n">
        <f aca="false">(B15+0.5*C15)/10</f>
        <v>0.05</v>
      </c>
      <c r="F15" s="18" t="str">
        <f aca="false">IF(E15&lt;0.3,"High — underserved",IF(E15&lt;=0.7,"Medium — differentiator","Low — table stakes"))</f>
        <v>High — underserved</v>
      </c>
    </row>
    <row r="16" customFormat="false" ht="15" hidden="false" customHeight="false" outlineLevel="0" collapsed="false">
      <c r="A16" s="7" t="s">
        <v>144</v>
      </c>
      <c r="B16" s="18" t="n">
        <f aca="false">COUNTIF('Feature Matrix'!C16:L16,"Y")</f>
        <v>8</v>
      </c>
      <c r="C16" s="18" t="n">
        <f aca="false">COUNTIF('Feature Matrix'!C16:L16,"P")</f>
        <v>1</v>
      </c>
      <c r="D16" s="18" t="n">
        <f aca="false">COUNTIF('Feature Matrix'!C16:L16,"N")</f>
        <v>1</v>
      </c>
      <c r="E16" s="19" t="n">
        <f aca="false">(B16+0.5*C16)/10</f>
        <v>0.85</v>
      </c>
      <c r="F16" s="18" t="str">
        <f aca="false">IF(E16&lt;0.3,"High — underserved",IF(E16&lt;=0.7,"Medium — differentiator","Low — table stakes"))</f>
        <v>Low — table stakes</v>
      </c>
    </row>
    <row r="17" customFormat="false" ht="15" hidden="false" customHeight="false" outlineLevel="0" collapsed="false">
      <c r="A17" s="7" t="s">
        <v>145</v>
      </c>
      <c r="B17" s="18" t="n">
        <f aca="false">COUNTIF('Feature Matrix'!C17:L17,"Y")</f>
        <v>3</v>
      </c>
      <c r="C17" s="18" t="n">
        <f aca="false">COUNTIF('Feature Matrix'!C17:L17,"P")</f>
        <v>0</v>
      </c>
      <c r="D17" s="18" t="n">
        <f aca="false">COUNTIF('Feature Matrix'!C17:L17,"N")</f>
        <v>7</v>
      </c>
      <c r="E17" s="19" t="n">
        <f aca="false">(B17+0.5*C17)/10</f>
        <v>0.3</v>
      </c>
      <c r="F17" s="18" t="str">
        <f aca="false">IF(E17&lt;0.3,"High — underserved",IF(E17&lt;=0.7,"Medium — differentiator","Low — table stakes"))</f>
        <v>Medium — differentiator</v>
      </c>
    </row>
    <row r="18" customFormat="false" ht="15" hidden="false" customHeight="false" outlineLevel="0" collapsed="false">
      <c r="A18" s="7" t="s">
        <v>146</v>
      </c>
      <c r="B18" s="18" t="n">
        <f aca="false">COUNTIF('Feature Matrix'!C18:L18,"Y")</f>
        <v>1</v>
      </c>
      <c r="C18" s="18" t="n">
        <f aca="false">COUNTIF('Feature Matrix'!C18:L18,"P")</f>
        <v>1</v>
      </c>
      <c r="D18" s="18" t="n">
        <f aca="false">COUNTIF('Feature Matrix'!C18:L18,"N")</f>
        <v>8</v>
      </c>
      <c r="E18" s="19" t="n">
        <f aca="false">(B18+0.5*C18)/10</f>
        <v>0.15</v>
      </c>
      <c r="F18" s="18" t="str">
        <f aca="false">IF(E18&lt;0.3,"High — underserved",IF(E18&lt;=0.7,"Medium — differentiator","Low — table stakes"))</f>
        <v>High — underserved</v>
      </c>
    </row>
    <row r="19" customFormat="false" ht="15" hidden="false" customHeight="false" outlineLevel="0" collapsed="false">
      <c r="A19" s="7" t="s">
        <v>147</v>
      </c>
      <c r="B19" s="18" t="n">
        <f aca="false">COUNTIF('Feature Matrix'!C19:L19,"Y")</f>
        <v>3</v>
      </c>
      <c r="C19" s="18" t="n">
        <f aca="false">COUNTIF('Feature Matrix'!C19:L19,"P")</f>
        <v>0</v>
      </c>
      <c r="D19" s="18" t="n">
        <f aca="false">COUNTIF('Feature Matrix'!C19:L19,"N")</f>
        <v>7</v>
      </c>
      <c r="E19" s="19" t="n">
        <f aca="false">(B19+0.5*C19)/10</f>
        <v>0.3</v>
      </c>
      <c r="F19" s="18" t="str">
        <f aca="false">IF(E19&lt;0.3,"High — underserved",IF(E19&lt;=0.7,"Medium — differentiator","Low — table stakes"))</f>
        <v>Medium — differentiator</v>
      </c>
    </row>
    <row r="20" customFormat="false" ht="15" hidden="false" customHeight="false" outlineLevel="0" collapsed="false">
      <c r="A20" s="7" t="s">
        <v>148</v>
      </c>
      <c r="B20" s="18" t="n">
        <f aca="false">COUNTIF('Feature Matrix'!C20:L20,"Y")</f>
        <v>7</v>
      </c>
      <c r="C20" s="18" t="n">
        <f aca="false">COUNTIF('Feature Matrix'!C20:L20,"P")</f>
        <v>1</v>
      </c>
      <c r="D20" s="18" t="n">
        <f aca="false">COUNTIF('Feature Matrix'!C20:L20,"N")</f>
        <v>2</v>
      </c>
      <c r="E20" s="19" t="n">
        <f aca="false">(B20+0.5*C20)/10</f>
        <v>0.75</v>
      </c>
      <c r="F20" s="18" t="str">
        <f aca="false">IF(E20&lt;0.3,"High — underserved",IF(E20&lt;=0.7,"Medium — differentiator","Low — table stakes"))</f>
        <v>Low — table stakes</v>
      </c>
    </row>
    <row r="21" customFormat="false" ht="15" hidden="false" customHeight="false" outlineLevel="0" collapsed="false">
      <c r="A21" s="7" t="s">
        <v>149</v>
      </c>
      <c r="B21" s="18" t="n">
        <f aca="false">COUNTIF('Feature Matrix'!C21:L21,"Y")</f>
        <v>6</v>
      </c>
      <c r="C21" s="18" t="n">
        <f aca="false">COUNTIF('Feature Matrix'!C21:L21,"P")</f>
        <v>0</v>
      </c>
      <c r="D21" s="18" t="n">
        <f aca="false">COUNTIF('Feature Matrix'!C21:L21,"N")</f>
        <v>4</v>
      </c>
      <c r="E21" s="19" t="n">
        <f aca="false">(B21+0.5*C21)/10</f>
        <v>0.6</v>
      </c>
      <c r="F21" s="18" t="str">
        <f aca="false">IF(E21&lt;0.3,"High — underserved",IF(E21&lt;=0.7,"Medium — differentiator","Low — table stakes"))</f>
        <v>Medium — differentiator</v>
      </c>
    </row>
    <row r="22" customFormat="false" ht="15" hidden="false" customHeight="false" outlineLevel="0" collapsed="false">
      <c r="A22" s="17" t="s">
        <v>150</v>
      </c>
      <c r="B22" s="17"/>
      <c r="C22" s="17"/>
      <c r="D22" s="17"/>
      <c r="E22" s="17"/>
      <c r="F22" s="17"/>
    </row>
    <row r="23" customFormat="false" ht="15" hidden="false" customHeight="false" outlineLevel="0" collapsed="false">
      <c r="A23" s="7" t="s">
        <v>151</v>
      </c>
      <c r="B23" s="18" t="n">
        <f aca="false">COUNTIF('Feature Matrix'!C23:L23,"Y")</f>
        <v>4</v>
      </c>
      <c r="C23" s="18" t="n">
        <f aca="false">COUNTIF('Feature Matrix'!C23:L23,"P")</f>
        <v>0</v>
      </c>
      <c r="D23" s="18" t="n">
        <f aca="false">COUNTIF('Feature Matrix'!C23:L23,"N")</f>
        <v>6</v>
      </c>
      <c r="E23" s="19" t="n">
        <f aca="false">(B23+0.5*C23)/10</f>
        <v>0.4</v>
      </c>
      <c r="F23" s="18" t="str">
        <f aca="false">IF(E23&lt;0.3,"High — underserved",IF(E23&lt;=0.7,"Medium — differentiator","Low — table stakes"))</f>
        <v>Medium — differentiator</v>
      </c>
    </row>
    <row r="24" customFormat="false" ht="15" hidden="false" customHeight="false" outlineLevel="0" collapsed="false">
      <c r="A24" s="7" t="s">
        <v>152</v>
      </c>
      <c r="B24" s="18" t="n">
        <f aca="false">COUNTIF('Feature Matrix'!C24:L24,"Y")</f>
        <v>1</v>
      </c>
      <c r="C24" s="18" t="n">
        <f aca="false">COUNTIF('Feature Matrix'!C24:L24,"P")</f>
        <v>1</v>
      </c>
      <c r="D24" s="18" t="n">
        <f aca="false">COUNTIF('Feature Matrix'!C24:L24,"N")</f>
        <v>8</v>
      </c>
      <c r="E24" s="19" t="n">
        <f aca="false">(B24+0.5*C24)/10</f>
        <v>0.15</v>
      </c>
      <c r="F24" s="18" t="str">
        <f aca="false">IF(E24&lt;0.3,"High — underserved",IF(E24&lt;=0.7,"Medium — differentiator","Low — table stakes"))</f>
        <v>High — underserved</v>
      </c>
    </row>
    <row r="25" customFormat="false" ht="15" hidden="false" customHeight="false" outlineLevel="0" collapsed="false">
      <c r="A25" s="7" t="s">
        <v>153</v>
      </c>
      <c r="B25" s="18" t="n">
        <f aca="false">COUNTIF('Feature Matrix'!C25:L25,"Y")</f>
        <v>4</v>
      </c>
      <c r="C25" s="18" t="n">
        <f aca="false">COUNTIF('Feature Matrix'!C25:L25,"P")</f>
        <v>0</v>
      </c>
      <c r="D25" s="18" t="n">
        <f aca="false">COUNTIF('Feature Matrix'!C25:L25,"N")</f>
        <v>6</v>
      </c>
      <c r="E25" s="19" t="n">
        <f aca="false">(B25+0.5*C25)/10</f>
        <v>0.4</v>
      </c>
      <c r="F25" s="18" t="str">
        <f aca="false">IF(E25&lt;0.3,"High — underserved",IF(E25&lt;=0.7,"Medium — differentiator","Low — table stakes"))</f>
        <v>Medium — differentiator</v>
      </c>
    </row>
    <row r="26" customFormat="false" ht="15" hidden="false" customHeight="false" outlineLevel="0" collapsed="false">
      <c r="A26" s="7" t="s">
        <v>154</v>
      </c>
      <c r="B26" s="18" t="n">
        <f aca="false">COUNTIF('Feature Matrix'!C26:L26,"Y")</f>
        <v>4</v>
      </c>
      <c r="C26" s="18" t="n">
        <f aca="false">COUNTIF('Feature Matrix'!C26:L26,"P")</f>
        <v>1</v>
      </c>
      <c r="D26" s="18" t="n">
        <f aca="false">COUNTIF('Feature Matrix'!C26:L26,"N")</f>
        <v>5</v>
      </c>
      <c r="E26" s="19" t="n">
        <f aca="false">(B26+0.5*C26)/10</f>
        <v>0.45</v>
      </c>
      <c r="F26" s="18" t="str">
        <f aca="false">IF(E26&lt;0.3,"High — underserved",IF(E26&lt;=0.7,"Medium — differentiator","Low — table stakes"))</f>
        <v>Medium — differentiator</v>
      </c>
    </row>
    <row r="27" customFormat="false" ht="15" hidden="false" customHeight="false" outlineLevel="0" collapsed="false">
      <c r="A27" s="7" t="s">
        <v>155</v>
      </c>
      <c r="B27" s="18" t="n">
        <f aca="false">COUNTIF('Feature Matrix'!C27:L27,"Y")</f>
        <v>3</v>
      </c>
      <c r="C27" s="18" t="n">
        <f aca="false">COUNTIF('Feature Matrix'!C27:L27,"P")</f>
        <v>1</v>
      </c>
      <c r="D27" s="18" t="n">
        <f aca="false">COUNTIF('Feature Matrix'!C27:L27,"N")</f>
        <v>6</v>
      </c>
      <c r="E27" s="19" t="n">
        <f aca="false">(B27+0.5*C27)/10</f>
        <v>0.35</v>
      </c>
      <c r="F27" s="18" t="str">
        <f aca="false">IF(E27&lt;0.3,"High — underserved",IF(E27&lt;=0.7,"Medium — differentiator","Low — table stakes"))</f>
        <v>Medium — differentiator</v>
      </c>
    </row>
    <row r="28" customFormat="false" ht="15" hidden="false" customHeight="false" outlineLevel="0" collapsed="false">
      <c r="A28" s="7" t="s">
        <v>156</v>
      </c>
      <c r="B28" s="18" t="n">
        <f aca="false">COUNTIF('Feature Matrix'!C28:L28,"Y")</f>
        <v>0</v>
      </c>
      <c r="C28" s="18" t="n">
        <f aca="false">COUNTIF('Feature Matrix'!C28:L28,"P")</f>
        <v>0</v>
      </c>
      <c r="D28" s="18" t="n">
        <f aca="false">COUNTIF('Feature Matrix'!C28:L28,"N")</f>
        <v>10</v>
      </c>
      <c r="E28" s="19" t="n">
        <f aca="false">(B28+0.5*C28)/10</f>
        <v>0</v>
      </c>
      <c r="F28" s="18" t="str">
        <f aca="false">IF(E28&lt;0.3,"High — underserved",IF(E28&lt;=0.7,"Medium — differentiator","Low — table stakes"))</f>
        <v>High — underserved</v>
      </c>
    </row>
    <row r="29" customFormat="false" ht="15" hidden="false" customHeight="false" outlineLevel="0" collapsed="false">
      <c r="A29" s="17" t="s">
        <v>157</v>
      </c>
      <c r="B29" s="17"/>
      <c r="C29" s="17"/>
      <c r="D29" s="17"/>
      <c r="E29" s="17"/>
      <c r="F29" s="17"/>
    </row>
    <row r="30" customFormat="false" ht="15" hidden="false" customHeight="false" outlineLevel="0" collapsed="false">
      <c r="A30" s="7" t="s">
        <v>158</v>
      </c>
      <c r="B30" s="18" t="n">
        <f aca="false">COUNTIF('Feature Matrix'!C30:L30,"Y")</f>
        <v>10</v>
      </c>
      <c r="C30" s="18" t="n">
        <f aca="false">COUNTIF('Feature Matrix'!C30:L30,"P")</f>
        <v>0</v>
      </c>
      <c r="D30" s="18" t="n">
        <f aca="false">COUNTIF('Feature Matrix'!C30:L30,"N")</f>
        <v>0</v>
      </c>
      <c r="E30" s="19" t="n">
        <f aca="false">(B30+0.5*C30)/10</f>
        <v>1</v>
      </c>
      <c r="F30" s="18" t="str">
        <f aca="false">IF(E30&lt;0.3,"High — underserved",IF(E30&lt;=0.7,"Medium — differentiator","Low — table stakes"))</f>
        <v>Low — table stakes</v>
      </c>
    </row>
    <row r="31" customFormat="false" ht="15" hidden="false" customHeight="false" outlineLevel="0" collapsed="false">
      <c r="A31" s="7" t="s">
        <v>159</v>
      </c>
      <c r="B31" s="18" t="n">
        <f aca="false">COUNTIF('Feature Matrix'!C31:L31,"Y")</f>
        <v>8</v>
      </c>
      <c r="C31" s="18" t="n">
        <f aca="false">COUNTIF('Feature Matrix'!C31:L31,"P")</f>
        <v>1</v>
      </c>
      <c r="D31" s="18" t="n">
        <f aca="false">COUNTIF('Feature Matrix'!C31:L31,"N")</f>
        <v>1</v>
      </c>
      <c r="E31" s="19" t="n">
        <f aca="false">(B31+0.5*C31)/10</f>
        <v>0.85</v>
      </c>
      <c r="F31" s="18" t="str">
        <f aca="false">IF(E31&lt;0.3,"High — underserved",IF(E31&lt;=0.7,"Medium — differentiator","Low — table stakes"))</f>
        <v>Low — table stakes</v>
      </c>
    </row>
    <row r="32" customFormat="false" ht="15" hidden="false" customHeight="false" outlineLevel="0" collapsed="false">
      <c r="A32" s="7" t="s">
        <v>160</v>
      </c>
      <c r="B32" s="18" t="n">
        <f aca="false">COUNTIF('Feature Matrix'!C32:L32,"Y")</f>
        <v>3</v>
      </c>
      <c r="C32" s="18" t="n">
        <f aca="false">COUNTIF('Feature Matrix'!C32:L32,"P")</f>
        <v>0</v>
      </c>
      <c r="D32" s="18" t="n">
        <f aca="false">COUNTIF('Feature Matrix'!C32:L32,"N")</f>
        <v>7</v>
      </c>
      <c r="E32" s="19" t="n">
        <f aca="false">(B32+0.5*C32)/10</f>
        <v>0.3</v>
      </c>
      <c r="F32" s="18" t="str">
        <f aca="false">IF(E32&lt;0.3,"High — underserved",IF(E32&lt;=0.7,"Medium — differentiator","Low — table stakes"))</f>
        <v>Medium — differentiator</v>
      </c>
    </row>
    <row r="33" customFormat="false" ht="15" hidden="false" customHeight="false" outlineLevel="0" collapsed="false">
      <c r="A33" s="7" t="s">
        <v>161</v>
      </c>
      <c r="B33" s="18" t="n">
        <f aca="false">COUNTIF('Feature Matrix'!C33:L33,"Y")</f>
        <v>1</v>
      </c>
      <c r="C33" s="18" t="n">
        <f aca="false">COUNTIF('Feature Matrix'!C33:L33,"P")</f>
        <v>1</v>
      </c>
      <c r="D33" s="18" t="n">
        <f aca="false">COUNTIF('Feature Matrix'!C33:L33,"N")</f>
        <v>8</v>
      </c>
      <c r="E33" s="19" t="n">
        <f aca="false">(B33+0.5*C33)/10</f>
        <v>0.15</v>
      </c>
      <c r="F33" s="18" t="str">
        <f aca="false">IF(E33&lt;0.3,"High — underserved",IF(E33&lt;=0.7,"Medium — differentiator","Low — table stakes"))</f>
        <v>High — underserved</v>
      </c>
    </row>
    <row r="34" customFormat="false" ht="15" hidden="false" customHeight="false" outlineLevel="0" collapsed="false">
      <c r="A34" s="7" t="s">
        <v>162</v>
      </c>
      <c r="B34" s="18" t="n">
        <f aca="false">COUNTIF('Feature Matrix'!C34:L34,"Y")</f>
        <v>3</v>
      </c>
      <c r="C34" s="18" t="n">
        <f aca="false">COUNTIF('Feature Matrix'!C34:L34,"P")</f>
        <v>0</v>
      </c>
      <c r="D34" s="18" t="n">
        <f aca="false">COUNTIF('Feature Matrix'!C34:L34,"N")</f>
        <v>7</v>
      </c>
      <c r="E34" s="19" t="n">
        <f aca="false">(B34+0.5*C34)/10</f>
        <v>0.3</v>
      </c>
      <c r="F34" s="18" t="str">
        <f aca="false">IF(E34&lt;0.3,"High — underserved",IF(E34&lt;=0.7,"Medium — differentiator","Low — table stakes"))</f>
        <v>Medium — differentiator</v>
      </c>
    </row>
    <row r="35" customFormat="false" ht="15" hidden="false" customHeight="false" outlineLevel="0" collapsed="false">
      <c r="A35" s="17" t="s">
        <v>163</v>
      </c>
      <c r="B35" s="17"/>
      <c r="C35" s="17"/>
      <c r="D35" s="17"/>
      <c r="E35" s="17"/>
      <c r="F35" s="17"/>
    </row>
    <row r="36" customFormat="false" ht="15" hidden="false" customHeight="false" outlineLevel="0" collapsed="false">
      <c r="A36" s="7" t="s">
        <v>164</v>
      </c>
      <c r="B36" s="18" t="n">
        <f aca="false">COUNTIF('Feature Matrix'!C36:L36,"Y")</f>
        <v>7</v>
      </c>
      <c r="C36" s="18" t="n">
        <f aca="false">COUNTIF('Feature Matrix'!C36:L36,"P")</f>
        <v>1</v>
      </c>
      <c r="D36" s="18" t="n">
        <f aca="false">COUNTIF('Feature Matrix'!C36:L36,"N")</f>
        <v>2</v>
      </c>
      <c r="E36" s="19" t="n">
        <f aca="false">(B36+0.5*C36)/10</f>
        <v>0.75</v>
      </c>
      <c r="F36" s="18" t="str">
        <f aca="false">IF(E36&lt;0.3,"High — underserved",IF(E36&lt;=0.7,"Medium — differentiator","Low — table stakes"))</f>
        <v>Low — table stakes</v>
      </c>
    </row>
    <row r="37" customFormat="false" ht="15" hidden="false" customHeight="false" outlineLevel="0" collapsed="false">
      <c r="A37" s="7" t="s">
        <v>165</v>
      </c>
      <c r="B37" s="18" t="n">
        <f aca="false">COUNTIF('Feature Matrix'!C37:L37,"Y")</f>
        <v>9</v>
      </c>
      <c r="C37" s="18" t="n">
        <f aca="false">COUNTIF('Feature Matrix'!C37:L37,"P")</f>
        <v>1</v>
      </c>
      <c r="D37" s="18" t="n">
        <f aca="false">COUNTIF('Feature Matrix'!C37:L37,"N")</f>
        <v>0</v>
      </c>
      <c r="E37" s="19" t="n">
        <f aca="false">(B37+0.5*C37)/10</f>
        <v>0.95</v>
      </c>
      <c r="F37" s="18" t="str">
        <f aca="false">IF(E37&lt;0.3,"High — underserved",IF(E37&lt;=0.7,"Medium — differentiator","Low — table stakes"))</f>
        <v>Low — table stakes</v>
      </c>
    </row>
    <row r="38" customFormat="false" ht="15" hidden="false" customHeight="false" outlineLevel="0" collapsed="false">
      <c r="A38" s="7" t="s">
        <v>166</v>
      </c>
      <c r="B38" s="18" t="n">
        <f aca="false">COUNTIF('Feature Matrix'!C38:L38,"Y")</f>
        <v>9</v>
      </c>
      <c r="C38" s="18" t="n">
        <f aca="false">COUNTIF('Feature Matrix'!C38:L38,"P")</f>
        <v>0</v>
      </c>
      <c r="D38" s="18" t="n">
        <f aca="false">COUNTIF('Feature Matrix'!C38:L38,"N")</f>
        <v>1</v>
      </c>
      <c r="E38" s="19" t="n">
        <f aca="false">(B38+0.5*C38)/10</f>
        <v>0.9</v>
      </c>
      <c r="F38" s="18" t="str">
        <f aca="false">IF(E38&lt;0.3,"High — underserved",IF(E38&lt;=0.7,"Medium — differentiator","Low — table stakes"))</f>
        <v>Low — table stakes</v>
      </c>
    </row>
    <row r="39" customFormat="false" ht="15" hidden="false" customHeight="false" outlineLevel="0" collapsed="false">
      <c r="A39" s="7" t="s">
        <v>167</v>
      </c>
      <c r="B39" s="18" t="n">
        <f aca="false">COUNTIF('Feature Matrix'!C39:L39,"Y")</f>
        <v>6</v>
      </c>
      <c r="C39" s="18" t="n">
        <f aca="false">COUNTIF('Feature Matrix'!C39:L39,"P")</f>
        <v>3</v>
      </c>
      <c r="D39" s="18" t="n">
        <f aca="false">COUNTIF('Feature Matrix'!C39:L39,"N")</f>
        <v>1</v>
      </c>
      <c r="E39" s="19" t="n">
        <f aca="false">(B39+0.5*C39)/10</f>
        <v>0.75</v>
      </c>
      <c r="F39" s="18" t="str">
        <f aca="false">IF(E39&lt;0.3,"High — underserved",IF(E39&lt;=0.7,"Medium — differentiator","Low — table stakes"))</f>
        <v>Low — table stakes</v>
      </c>
    </row>
    <row r="40" customFormat="false" ht="15" hidden="false" customHeight="false" outlineLevel="0" collapsed="false">
      <c r="A40" s="7" t="s">
        <v>168</v>
      </c>
      <c r="B40" s="18" t="n">
        <f aca="false">COUNTIF('Feature Matrix'!C40:L40,"Y")</f>
        <v>4</v>
      </c>
      <c r="C40" s="18" t="n">
        <f aca="false">COUNTIF('Feature Matrix'!C40:L40,"P")</f>
        <v>2</v>
      </c>
      <c r="D40" s="18" t="n">
        <f aca="false">COUNTIF('Feature Matrix'!C40:L40,"N")</f>
        <v>4</v>
      </c>
      <c r="E40" s="19" t="n">
        <f aca="false">(B40+0.5*C40)/10</f>
        <v>0.5</v>
      </c>
      <c r="F40" s="18" t="str">
        <f aca="false">IF(E40&lt;0.3,"High — underserved",IF(E40&lt;=0.7,"Medium — differentiator","Low — table stakes"))</f>
        <v>Medium — differentiator</v>
      </c>
    </row>
    <row r="41" customFormat="false" ht="15" hidden="false" customHeight="false" outlineLevel="0" collapsed="false">
      <c r="A41" s="7" t="s">
        <v>169</v>
      </c>
      <c r="B41" s="18" t="n">
        <f aca="false">COUNTIF('Feature Matrix'!C41:L41,"Y")</f>
        <v>5</v>
      </c>
      <c r="C41" s="18" t="n">
        <f aca="false">COUNTIF('Feature Matrix'!C41:L41,"P")</f>
        <v>2</v>
      </c>
      <c r="D41" s="18" t="n">
        <f aca="false">COUNTIF('Feature Matrix'!C41:L41,"N")</f>
        <v>3</v>
      </c>
      <c r="E41" s="19" t="n">
        <f aca="false">(B41+0.5*C41)/10</f>
        <v>0.6</v>
      </c>
      <c r="F41" s="18" t="str">
        <f aca="false">IF(E41&lt;0.3,"High — underserved",IF(E41&lt;=0.7,"Medium — differentiator","Low — table stakes"))</f>
        <v>Medium — differentiator</v>
      </c>
    </row>
    <row r="42" customFormat="false" ht="15" hidden="false" customHeight="false" outlineLevel="0" collapsed="false">
      <c r="A42" s="17" t="s">
        <v>170</v>
      </c>
      <c r="B42" s="17"/>
      <c r="C42" s="17"/>
      <c r="D42" s="17"/>
      <c r="E42" s="17"/>
      <c r="F42" s="17"/>
    </row>
    <row r="43" customFormat="false" ht="15" hidden="false" customHeight="false" outlineLevel="0" collapsed="false">
      <c r="A43" s="7" t="s">
        <v>171</v>
      </c>
      <c r="B43" s="18" t="n">
        <f aca="false">COUNTIF('Feature Matrix'!C43:L43,"Y")</f>
        <v>9</v>
      </c>
      <c r="C43" s="18" t="n">
        <f aca="false">COUNTIF('Feature Matrix'!C43:L43,"P")</f>
        <v>1</v>
      </c>
      <c r="D43" s="18" t="n">
        <f aca="false">COUNTIF('Feature Matrix'!C43:L43,"N")</f>
        <v>0</v>
      </c>
      <c r="E43" s="19" t="n">
        <f aca="false">(B43+0.5*C43)/10</f>
        <v>0.95</v>
      </c>
      <c r="F43" s="18" t="str">
        <f aca="false">IF(E43&lt;0.3,"High — underserved",IF(E43&lt;=0.7,"Medium — differentiator","Low — table stakes"))</f>
        <v>Low — table stakes</v>
      </c>
    </row>
    <row r="44" customFormat="false" ht="15" hidden="false" customHeight="false" outlineLevel="0" collapsed="false">
      <c r="A44" s="7" t="s">
        <v>172</v>
      </c>
      <c r="B44" s="18" t="n">
        <f aca="false">COUNTIF('Feature Matrix'!C44:L44,"Y")</f>
        <v>10</v>
      </c>
      <c r="C44" s="18" t="n">
        <f aca="false">COUNTIF('Feature Matrix'!C44:L44,"P")</f>
        <v>0</v>
      </c>
      <c r="D44" s="18" t="n">
        <f aca="false">COUNTIF('Feature Matrix'!C44:L44,"N")</f>
        <v>0</v>
      </c>
      <c r="E44" s="19" t="n">
        <f aca="false">(B44+0.5*C44)/10</f>
        <v>1</v>
      </c>
      <c r="F44" s="18" t="str">
        <f aca="false">IF(E44&lt;0.3,"High — underserved",IF(E44&lt;=0.7,"Medium — differentiator","Low — table stakes"))</f>
        <v>Low — table stakes</v>
      </c>
    </row>
    <row r="45" customFormat="false" ht="15" hidden="false" customHeight="false" outlineLevel="0" collapsed="false">
      <c r="A45" s="7" t="s">
        <v>173</v>
      </c>
      <c r="B45" s="18" t="n">
        <f aca="false">COUNTIF('Feature Matrix'!C45:L45,"Y")</f>
        <v>8</v>
      </c>
      <c r="C45" s="18" t="n">
        <f aca="false">COUNTIF('Feature Matrix'!C45:L45,"P")</f>
        <v>1</v>
      </c>
      <c r="D45" s="18" t="n">
        <f aca="false">COUNTIF('Feature Matrix'!C45:L45,"N")</f>
        <v>1</v>
      </c>
      <c r="E45" s="19" t="n">
        <f aca="false">(B45+0.5*C45)/10</f>
        <v>0.85</v>
      </c>
      <c r="F45" s="18" t="str">
        <f aca="false">IF(E45&lt;0.3,"High — underserved",IF(E45&lt;=0.7,"Medium — differentiator","Low — table stakes"))</f>
        <v>Low — table stakes</v>
      </c>
    </row>
    <row r="46" customFormat="false" ht="15" hidden="false" customHeight="false" outlineLevel="0" collapsed="false">
      <c r="A46" s="7" t="s">
        <v>174</v>
      </c>
      <c r="B46" s="18" t="n">
        <f aca="false">COUNTIF('Feature Matrix'!C46:L46,"Y")</f>
        <v>7</v>
      </c>
      <c r="C46" s="18" t="n">
        <f aca="false">COUNTIF('Feature Matrix'!C46:L46,"P")</f>
        <v>1</v>
      </c>
      <c r="D46" s="18" t="n">
        <f aca="false">COUNTIF('Feature Matrix'!C46:L46,"N")</f>
        <v>2</v>
      </c>
      <c r="E46" s="19" t="n">
        <f aca="false">(B46+0.5*C46)/10</f>
        <v>0.75</v>
      </c>
      <c r="F46" s="18" t="str">
        <f aca="false">IF(E46&lt;0.3,"High — underserved",IF(E46&lt;=0.7,"Medium — differentiator","Low — table stakes"))</f>
        <v>Low — table stakes</v>
      </c>
    </row>
    <row r="47" customFormat="false" ht="15" hidden="false" customHeight="false" outlineLevel="0" collapsed="false">
      <c r="A47" s="7" t="s">
        <v>175</v>
      </c>
      <c r="B47" s="18" t="n">
        <f aca="false">COUNTIF('Feature Matrix'!C47:L47,"Y")</f>
        <v>10</v>
      </c>
      <c r="C47" s="18" t="n">
        <f aca="false">COUNTIF('Feature Matrix'!C47:L47,"P")</f>
        <v>0</v>
      </c>
      <c r="D47" s="18" t="n">
        <f aca="false">COUNTIF('Feature Matrix'!C47:L47,"N")</f>
        <v>0</v>
      </c>
      <c r="E47" s="19" t="n">
        <f aca="false">(B47+0.5*C47)/10</f>
        <v>1</v>
      </c>
      <c r="F47" s="18" t="str">
        <f aca="false">IF(E47&lt;0.3,"High — underserved",IF(E47&lt;=0.7,"Medium — differentiator","Low — table stakes"))</f>
        <v>Low — table stakes</v>
      </c>
    </row>
    <row r="48" customFormat="false" ht="15" hidden="false" customHeight="false" outlineLevel="0" collapsed="false">
      <c r="A48" s="17" t="s">
        <v>176</v>
      </c>
      <c r="B48" s="17"/>
      <c r="C48" s="17"/>
      <c r="D48" s="17"/>
      <c r="E48" s="17"/>
      <c r="F48" s="17"/>
    </row>
    <row r="49" customFormat="false" ht="15" hidden="false" customHeight="false" outlineLevel="0" collapsed="false">
      <c r="A49" s="7" t="s">
        <v>177</v>
      </c>
      <c r="B49" s="18" t="n">
        <f aca="false">COUNTIF('Feature Matrix'!C49:L49,"Y")</f>
        <v>10</v>
      </c>
      <c r="C49" s="18" t="n">
        <f aca="false">COUNTIF('Feature Matrix'!C49:L49,"P")</f>
        <v>0</v>
      </c>
      <c r="D49" s="18" t="n">
        <f aca="false">COUNTIF('Feature Matrix'!C49:L49,"N")</f>
        <v>0</v>
      </c>
      <c r="E49" s="19" t="n">
        <f aca="false">(B49+0.5*C49)/10</f>
        <v>1</v>
      </c>
      <c r="F49" s="18" t="str">
        <f aca="false">IF(E49&lt;0.3,"High — underserved",IF(E49&lt;=0.7,"Medium — differentiator","Low — table stakes"))</f>
        <v>Low — table stakes</v>
      </c>
    </row>
    <row r="50" customFormat="false" ht="15" hidden="false" customHeight="false" outlineLevel="0" collapsed="false">
      <c r="A50" s="7" t="s">
        <v>178</v>
      </c>
      <c r="B50" s="18" t="n">
        <f aca="false">COUNTIF('Feature Matrix'!C50:L50,"Y")</f>
        <v>7</v>
      </c>
      <c r="C50" s="18" t="n">
        <f aca="false">COUNTIF('Feature Matrix'!C50:L50,"P")</f>
        <v>3</v>
      </c>
      <c r="D50" s="18" t="n">
        <f aca="false">COUNTIF('Feature Matrix'!C50:L50,"N")</f>
        <v>0</v>
      </c>
      <c r="E50" s="19" t="n">
        <f aca="false">(B50+0.5*C50)/10</f>
        <v>0.85</v>
      </c>
      <c r="F50" s="18" t="str">
        <f aca="false">IF(E50&lt;0.3,"High — underserved",IF(E50&lt;=0.7,"Medium — differentiator","Low — table stakes"))</f>
        <v>Low — table stakes</v>
      </c>
    </row>
    <row r="51" customFormat="false" ht="15" hidden="false" customHeight="false" outlineLevel="0" collapsed="false">
      <c r="A51" s="7" t="s">
        <v>179</v>
      </c>
      <c r="B51" s="18" t="n">
        <f aca="false">COUNTIF('Feature Matrix'!C51:L51,"Y")</f>
        <v>8</v>
      </c>
      <c r="C51" s="18" t="n">
        <f aca="false">COUNTIF('Feature Matrix'!C51:L51,"P")</f>
        <v>1</v>
      </c>
      <c r="D51" s="18" t="n">
        <f aca="false">COUNTIF('Feature Matrix'!C51:L51,"N")</f>
        <v>1</v>
      </c>
      <c r="E51" s="19" t="n">
        <f aca="false">(B51+0.5*C51)/10</f>
        <v>0.85</v>
      </c>
      <c r="F51" s="18" t="str">
        <f aca="false">IF(E51&lt;0.3,"High — underserved",IF(E51&lt;=0.7,"Medium — differentiator","Low — table stakes"))</f>
        <v>Low — table stakes</v>
      </c>
    </row>
    <row r="52" customFormat="false" ht="15" hidden="false" customHeight="false" outlineLevel="0" collapsed="false">
      <c r="A52" s="7" t="s">
        <v>180</v>
      </c>
      <c r="B52" s="18" t="n">
        <f aca="false">COUNTIF('Feature Matrix'!C52:L52,"Y")</f>
        <v>6</v>
      </c>
      <c r="C52" s="18" t="n">
        <f aca="false">COUNTIF('Feature Matrix'!C52:L52,"P")</f>
        <v>2</v>
      </c>
      <c r="D52" s="18" t="n">
        <f aca="false">COUNTIF('Feature Matrix'!C52:L52,"N")</f>
        <v>2</v>
      </c>
      <c r="E52" s="19" t="n">
        <f aca="false">(B52+0.5*C52)/10</f>
        <v>0.7</v>
      </c>
      <c r="F52" s="18" t="str">
        <f aca="false">IF(E52&lt;0.3,"High — underserved",IF(E52&lt;=0.7,"Medium — differentiator","Low — table stakes"))</f>
        <v>Medium — differentiator</v>
      </c>
    </row>
    <row r="53" customFormat="false" ht="15" hidden="false" customHeight="false" outlineLevel="0" collapsed="false">
      <c r="A53" s="7" t="s">
        <v>181</v>
      </c>
      <c r="B53" s="18" t="n">
        <f aca="false">COUNTIF('Feature Matrix'!C53:L53,"Y")</f>
        <v>6</v>
      </c>
      <c r="C53" s="18" t="n">
        <f aca="false">COUNTIF('Feature Matrix'!C53:L53,"P")</f>
        <v>3</v>
      </c>
      <c r="D53" s="18" t="n">
        <f aca="false">COUNTIF('Feature Matrix'!C53:L53,"N")</f>
        <v>1</v>
      </c>
      <c r="E53" s="19" t="n">
        <f aca="false">(B53+0.5*C53)/10</f>
        <v>0.75</v>
      </c>
      <c r="F53" s="18" t="str">
        <f aca="false">IF(E53&lt;0.3,"High — underserved",IF(E53&lt;=0.7,"Medium — differentiator","Low — table stakes"))</f>
        <v>Low — table stakes</v>
      </c>
    </row>
    <row r="54" customFormat="false" ht="15" hidden="false" customHeight="false" outlineLevel="0" collapsed="false">
      <c r="A54" s="7" t="s">
        <v>182</v>
      </c>
      <c r="B54" s="18" t="n">
        <f aca="false">COUNTIF('Feature Matrix'!C54:L54,"Y")</f>
        <v>1</v>
      </c>
      <c r="C54" s="18" t="n">
        <f aca="false">COUNTIF('Feature Matrix'!C54:L54,"P")</f>
        <v>2</v>
      </c>
      <c r="D54" s="18" t="n">
        <f aca="false">COUNTIF('Feature Matrix'!C54:L54,"N")</f>
        <v>7</v>
      </c>
      <c r="E54" s="19" t="n">
        <f aca="false">(B54+0.5*C54)/10</f>
        <v>0.2</v>
      </c>
      <c r="F54" s="18" t="str">
        <f aca="false">IF(E54&lt;0.3,"High — underserved",IF(E54&lt;=0.7,"Medium — differentiator","Low — table stakes"))</f>
        <v>High — underserved</v>
      </c>
    </row>
    <row r="55" customFormat="false" ht="15" hidden="false" customHeight="false" outlineLevel="0" collapsed="false">
      <c r="A55" s="7" t="s">
        <v>183</v>
      </c>
      <c r="B55" s="18" t="n">
        <f aca="false">COUNTIF('Feature Matrix'!C55:L55,"Y")</f>
        <v>4</v>
      </c>
      <c r="C55" s="18" t="n">
        <f aca="false">COUNTIF('Feature Matrix'!C55:L55,"P")</f>
        <v>2</v>
      </c>
      <c r="D55" s="18" t="n">
        <f aca="false">COUNTIF('Feature Matrix'!C55:L55,"N")</f>
        <v>4</v>
      </c>
      <c r="E55" s="19" t="n">
        <f aca="false">(B55+0.5*C55)/10</f>
        <v>0.5</v>
      </c>
      <c r="F55" s="18" t="str">
        <f aca="false">IF(E55&lt;0.3,"High — underserved",IF(E55&lt;=0.7,"Medium — differentiator","Low — table stakes"))</f>
        <v>Medium — differentiator</v>
      </c>
    </row>
    <row r="56" customFormat="false" ht="15" hidden="false" customHeight="false" outlineLevel="0" collapsed="false">
      <c r="A56" s="7" t="s">
        <v>184</v>
      </c>
      <c r="B56" s="18" t="n">
        <f aca="false">COUNTIF('Feature Matrix'!C56:L56,"Y")</f>
        <v>2</v>
      </c>
      <c r="C56" s="18" t="n">
        <f aca="false">COUNTIF('Feature Matrix'!C56:L56,"P")</f>
        <v>1</v>
      </c>
      <c r="D56" s="18" t="n">
        <f aca="false">COUNTIF('Feature Matrix'!C56:L56,"N")</f>
        <v>7</v>
      </c>
      <c r="E56" s="19" t="n">
        <f aca="false">(B56+0.5*C56)/10</f>
        <v>0.25</v>
      </c>
      <c r="F56" s="18" t="str">
        <f aca="false">IF(E56&lt;0.3,"High — underserved",IF(E56&lt;=0.7,"Medium — differentiator","Low — table stakes"))</f>
        <v>High — underserved</v>
      </c>
    </row>
    <row r="57" customFormat="false" ht="15" hidden="false" customHeight="false" outlineLevel="0" collapsed="false">
      <c r="A57" s="7" t="s">
        <v>185</v>
      </c>
      <c r="B57" s="18" t="n">
        <f aca="false">COUNTIF('Feature Matrix'!C57:L57,"Y")</f>
        <v>9</v>
      </c>
      <c r="C57" s="18" t="n">
        <f aca="false">COUNTIF('Feature Matrix'!C57:L57,"P")</f>
        <v>1</v>
      </c>
      <c r="D57" s="18" t="n">
        <f aca="false">COUNTIF('Feature Matrix'!C57:L57,"N")</f>
        <v>0</v>
      </c>
      <c r="E57" s="19" t="n">
        <f aca="false">(B57+0.5*C57)/10</f>
        <v>0.95</v>
      </c>
      <c r="F57" s="18" t="str">
        <f aca="false">IF(E57&lt;0.3,"High — underserved",IF(E57&lt;=0.7,"Medium — differentiator","Low — table stakes"))</f>
        <v>Low — table stakes</v>
      </c>
    </row>
    <row r="58" customFormat="false" ht="15" hidden="false" customHeight="false" outlineLevel="0" collapsed="false">
      <c r="A58" s="7" t="s">
        <v>186</v>
      </c>
      <c r="B58" s="18" t="n">
        <f aca="false">COUNTIF('Feature Matrix'!C58:L58,"Y")</f>
        <v>4</v>
      </c>
      <c r="C58" s="18" t="n">
        <f aca="false">COUNTIF('Feature Matrix'!C58:L58,"P")</f>
        <v>1</v>
      </c>
      <c r="D58" s="18" t="n">
        <f aca="false">COUNTIF('Feature Matrix'!C58:L58,"N")</f>
        <v>5</v>
      </c>
      <c r="E58" s="19" t="n">
        <f aca="false">(B58+0.5*C58)/10</f>
        <v>0.45</v>
      </c>
      <c r="F58" s="18" t="str">
        <f aca="false">IF(E58&lt;0.3,"High — underserved",IF(E58&lt;=0.7,"Medium — differentiator","Low — table stakes"))</f>
        <v>Medium — differentiator</v>
      </c>
    </row>
    <row r="59" customFormat="false" ht="15" hidden="false" customHeight="false" outlineLevel="0" collapsed="false">
      <c r="A59" s="7" t="s">
        <v>187</v>
      </c>
      <c r="B59" s="18" t="n">
        <f aca="false">COUNTIF('Feature Matrix'!C59:L59,"Y")</f>
        <v>3</v>
      </c>
      <c r="C59" s="18" t="n">
        <f aca="false">COUNTIF('Feature Matrix'!C59:L59,"P")</f>
        <v>1</v>
      </c>
      <c r="D59" s="18" t="n">
        <f aca="false">COUNTIF('Feature Matrix'!C59:L59,"N")</f>
        <v>6</v>
      </c>
      <c r="E59" s="19" t="n">
        <f aca="false">(B59+0.5*C59)/10</f>
        <v>0.35</v>
      </c>
      <c r="F59" s="18" t="str">
        <f aca="false">IF(E59&lt;0.3,"High — underserved",IF(E59&lt;=0.7,"Medium — differentiator","Low — table stakes"))</f>
        <v>Medium — differentiator</v>
      </c>
    </row>
    <row r="60" customFormat="false" ht="15" hidden="false" customHeight="false" outlineLevel="0" collapsed="false">
      <c r="A60" s="17" t="s">
        <v>188</v>
      </c>
      <c r="B60" s="17"/>
      <c r="C60" s="17"/>
      <c r="D60" s="17"/>
      <c r="E60" s="17"/>
      <c r="F60" s="17"/>
    </row>
    <row r="61" customFormat="false" ht="15" hidden="false" customHeight="false" outlineLevel="0" collapsed="false">
      <c r="A61" s="7" t="s">
        <v>189</v>
      </c>
      <c r="B61" s="18" t="n">
        <f aca="false">COUNTIF('Feature Matrix'!C61:L61,"Y")</f>
        <v>2</v>
      </c>
      <c r="C61" s="18" t="n">
        <f aca="false">COUNTIF('Feature Matrix'!C61:L61,"P")</f>
        <v>1</v>
      </c>
      <c r="D61" s="18" t="n">
        <f aca="false">COUNTIF('Feature Matrix'!C61:L61,"N")</f>
        <v>7</v>
      </c>
      <c r="E61" s="19" t="n">
        <f aca="false">(B61+0.5*C61)/10</f>
        <v>0.25</v>
      </c>
      <c r="F61" s="18" t="str">
        <f aca="false">IF(E61&lt;0.3,"High — underserved",IF(E61&lt;=0.7,"Medium — differentiator","Low — table stakes"))</f>
        <v>High — underserved</v>
      </c>
    </row>
    <row r="62" customFormat="false" ht="15" hidden="false" customHeight="false" outlineLevel="0" collapsed="false">
      <c r="A62" s="7" t="s">
        <v>190</v>
      </c>
      <c r="B62" s="18" t="n">
        <f aca="false">COUNTIF('Feature Matrix'!C62:L62,"Y")</f>
        <v>1</v>
      </c>
      <c r="C62" s="18" t="n">
        <f aca="false">COUNTIF('Feature Matrix'!C62:L62,"P")</f>
        <v>1</v>
      </c>
      <c r="D62" s="18" t="n">
        <f aca="false">COUNTIF('Feature Matrix'!C62:L62,"N")</f>
        <v>8</v>
      </c>
      <c r="E62" s="19" t="n">
        <f aca="false">(B62+0.5*C62)/10</f>
        <v>0.15</v>
      </c>
      <c r="F62" s="18" t="str">
        <f aca="false">IF(E62&lt;0.3,"High — underserved",IF(E62&lt;=0.7,"Medium — differentiator","Low — table stakes"))</f>
        <v>High — underserved</v>
      </c>
    </row>
    <row r="63" customFormat="false" ht="15" hidden="false" customHeight="false" outlineLevel="0" collapsed="false">
      <c r="A63" s="7" t="s">
        <v>191</v>
      </c>
      <c r="B63" s="18" t="n">
        <f aca="false">COUNTIF('Feature Matrix'!C63:L63,"Y")</f>
        <v>3</v>
      </c>
      <c r="C63" s="18" t="n">
        <f aca="false">COUNTIF('Feature Matrix'!C63:L63,"P")</f>
        <v>0</v>
      </c>
      <c r="D63" s="18" t="n">
        <f aca="false">COUNTIF('Feature Matrix'!C63:L63,"N")</f>
        <v>7</v>
      </c>
      <c r="E63" s="19" t="n">
        <f aca="false">(B63+0.5*C63)/10</f>
        <v>0.3</v>
      </c>
      <c r="F63" s="18" t="str">
        <f aca="false">IF(E63&lt;0.3,"High — underserved",IF(E63&lt;=0.7,"Medium — differentiator","Low — table stakes"))</f>
        <v>Medium — differentiator</v>
      </c>
    </row>
    <row r="64" customFormat="false" ht="15" hidden="false" customHeight="false" outlineLevel="0" collapsed="false">
      <c r="A64" s="7" t="s">
        <v>192</v>
      </c>
      <c r="B64" s="18" t="n">
        <f aca="false">COUNTIF('Feature Matrix'!C64:L64,"Y")</f>
        <v>0</v>
      </c>
      <c r="C64" s="18" t="n">
        <f aca="false">COUNTIF('Feature Matrix'!C64:L64,"P")</f>
        <v>2</v>
      </c>
      <c r="D64" s="18" t="n">
        <f aca="false">COUNTIF('Feature Matrix'!C64:L64,"N")</f>
        <v>8</v>
      </c>
      <c r="E64" s="19" t="n">
        <f aca="false">(B64+0.5*C64)/10</f>
        <v>0.1</v>
      </c>
      <c r="F64" s="18" t="str">
        <f aca="false">IF(E64&lt;0.3,"High — underserved",IF(E64&lt;=0.7,"Medium — differentiator","Low — table stakes"))</f>
        <v>High — underserved</v>
      </c>
    </row>
    <row r="65" customFormat="false" ht="15" hidden="false" customHeight="false" outlineLevel="0" collapsed="false">
      <c r="A65" s="7" t="s">
        <v>193</v>
      </c>
      <c r="B65" s="18" t="n">
        <f aca="false">COUNTIF('Feature Matrix'!C65:L65,"Y")</f>
        <v>8</v>
      </c>
      <c r="C65" s="18" t="n">
        <f aca="false">COUNTIF('Feature Matrix'!C65:L65,"P")</f>
        <v>2</v>
      </c>
      <c r="D65" s="18" t="n">
        <f aca="false">COUNTIF('Feature Matrix'!C65:L65,"N")</f>
        <v>0</v>
      </c>
      <c r="E65" s="19" t="n">
        <f aca="false">(B65+0.5*C65)/10</f>
        <v>0.9</v>
      </c>
      <c r="F65" s="18" t="str">
        <f aca="false">IF(E65&lt;0.3,"High — underserved",IF(E65&lt;=0.7,"Medium — differentiator","Low — table stakes"))</f>
        <v>Low — table stakes</v>
      </c>
    </row>
    <row r="66" customFormat="false" ht="15" hidden="false" customHeight="false" outlineLevel="0" collapsed="false">
      <c r="A66" s="17" t="s">
        <v>194</v>
      </c>
      <c r="B66" s="17"/>
      <c r="C66" s="17"/>
      <c r="D66" s="17"/>
      <c r="E66" s="17"/>
      <c r="F66" s="17"/>
    </row>
    <row r="67" customFormat="false" ht="15" hidden="false" customHeight="false" outlineLevel="0" collapsed="false">
      <c r="A67" s="7" t="s">
        <v>195</v>
      </c>
      <c r="B67" s="18" t="n">
        <f aca="false">COUNTIF('Feature Matrix'!C67:L67,"Y")</f>
        <v>4</v>
      </c>
      <c r="C67" s="18" t="n">
        <f aca="false">COUNTIF('Feature Matrix'!C67:L67,"P")</f>
        <v>2</v>
      </c>
      <c r="D67" s="18" t="n">
        <f aca="false">COUNTIF('Feature Matrix'!C67:L67,"N")</f>
        <v>4</v>
      </c>
      <c r="E67" s="19" t="n">
        <f aca="false">(B67+0.5*C67)/10</f>
        <v>0.5</v>
      </c>
      <c r="F67" s="18" t="str">
        <f aca="false">IF(E67&lt;0.3,"High — underserved",IF(E67&lt;=0.7,"Medium — differentiator","Low — table stakes"))</f>
        <v>Medium — differentiator</v>
      </c>
    </row>
    <row r="68" customFormat="false" ht="15" hidden="false" customHeight="false" outlineLevel="0" collapsed="false">
      <c r="A68" s="7" t="s">
        <v>196</v>
      </c>
      <c r="B68" s="18" t="n">
        <f aca="false">COUNTIF('Feature Matrix'!C68:L68,"Y")</f>
        <v>4</v>
      </c>
      <c r="C68" s="18" t="n">
        <f aca="false">COUNTIF('Feature Matrix'!C68:L68,"P")</f>
        <v>1</v>
      </c>
      <c r="D68" s="18" t="n">
        <f aca="false">COUNTIF('Feature Matrix'!C68:L68,"N")</f>
        <v>5</v>
      </c>
      <c r="E68" s="19" t="n">
        <f aca="false">(B68+0.5*C68)/10</f>
        <v>0.45</v>
      </c>
      <c r="F68" s="18" t="str">
        <f aca="false">IF(E68&lt;0.3,"High — underserved",IF(E68&lt;=0.7,"Medium — differentiator","Low — table stakes"))</f>
        <v>Medium — differentiator</v>
      </c>
    </row>
    <row r="69" customFormat="false" ht="15" hidden="false" customHeight="false" outlineLevel="0" collapsed="false">
      <c r="A69" s="7" t="s">
        <v>197</v>
      </c>
      <c r="B69" s="18" t="n">
        <f aca="false">COUNTIF('Feature Matrix'!C69:L69,"Y")</f>
        <v>3</v>
      </c>
      <c r="C69" s="18" t="n">
        <f aca="false">COUNTIF('Feature Matrix'!C69:L69,"P")</f>
        <v>0</v>
      </c>
      <c r="D69" s="18" t="n">
        <f aca="false">COUNTIF('Feature Matrix'!C69:L69,"N")</f>
        <v>7</v>
      </c>
      <c r="E69" s="19" t="n">
        <f aca="false">(B69+0.5*C69)/10</f>
        <v>0.3</v>
      </c>
      <c r="F69" s="18" t="str">
        <f aca="false">IF(E69&lt;0.3,"High — underserved",IF(E69&lt;=0.7,"Medium — differentiator","Low — table stakes"))</f>
        <v>Medium — differentiator</v>
      </c>
    </row>
    <row r="70" customFormat="false" ht="15" hidden="false" customHeight="false" outlineLevel="0" collapsed="false">
      <c r="A70" s="7" t="s">
        <v>198</v>
      </c>
      <c r="B70" s="18" t="n">
        <f aca="false">COUNTIF('Feature Matrix'!C70:L70,"Y")</f>
        <v>4</v>
      </c>
      <c r="C70" s="18" t="n">
        <f aca="false">COUNTIF('Feature Matrix'!C70:L70,"P")</f>
        <v>0</v>
      </c>
      <c r="D70" s="18" t="n">
        <f aca="false">COUNTIF('Feature Matrix'!C70:L70,"N")</f>
        <v>6</v>
      </c>
      <c r="E70" s="19" t="n">
        <f aca="false">(B70+0.5*C70)/10</f>
        <v>0.4</v>
      </c>
      <c r="F70" s="18" t="str">
        <f aca="false">IF(E70&lt;0.3,"High — underserved",IF(E70&lt;=0.7,"Medium — differentiator","Low — table stakes"))</f>
        <v>Medium — differentiator</v>
      </c>
    </row>
    <row r="71" customFormat="false" ht="15" hidden="false" customHeight="false" outlineLevel="0" collapsed="false">
      <c r="A71" s="7" t="s">
        <v>199</v>
      </c>
      <c r="B71" s="18" t="n">
        <f aca="false">COUNTIF('Feature Matrix'!C71:L71,"Y")</f>
        <v>6</v>
      </c>
      <c r="C71" s="18" t="n">
        <f aca="false">COUNTIF('Feature Matrix'!C71:L71,"P")</f>
        <v>1</v>
      </c>
      <c r="D71" s="18" t="n">
        <f aca="false">COUNTIF('Feature Matrix'!C71:L71,"N")</f>
        <v>3</v>
      </c>
      <c r="E71" s="19" t="n">
        <f aca="false">(B71+0.5*C71)/10</f>
        <v>0.65</v>
      </c>
      <c r="F71" s="18" t="str">
        <f aca="false">IF(E71&lt;0.3,"High — underserved",IF(E71&lt;=0.7,"Medium — differentiator","Low — table stakes"))</f>
        <v>Medium — differentiator</v>
      </c>
    </row>
    <row r="72" customFormat="false" ht="15" hidden="false" customHeight="false" outlineLevel="0" collapsed="false">
      <c r="A72" s="7" t="s">
        <v>200</v>
      </c>
      <c r="B72" s="18" t="n">
        <f aca="false">COUNTIF('Feature Matrix'!C72:L72,"Y")</f>
        <v>5</v>
      </c>
      <c r="C72" s="18" t="n">
        <f aca="false">COUNTIF('Feature Matrix'!C72:L72,"P")</f>
        <v>1</v>
      </c>
      <c r="D72" s="18" t="n">
        <f aca="false">COUNTIF('Feature Matrix'!C72:L72,"N")</f>
        <v>4</v>
      </c>
      <c r="E72" s="19" t="n">
        <f aca="false">(B72+0.5*C72)/10</f>
        <v>0.55</v>
      </c>
      <c r="F72" s="18" t="str">
        <f aca="false">IF(E72&lt;0.3,"High — underserved",IF(E72&lt;=0.7,"Medium — differentiator","Low — table stakes"))</f>
        <v>Medium — differentiator</v>
      </c>
    </row>
    <row r="73" customFormat="false" ht="15" hidden="false" customHeight="false" outlineLevel="0" collapsed="false">
      <c r="A73" s="17" t="s">
        <v>201</v>
      </c>
      <c r="B73" s="17"/>
      <c r="C73" s="17"/>
      <c r="D73" s="17"/>
      <c r="E73" s="17"/>
      <c r="F73" s="17"/>
    </row>
    <row r="74" customFormat="false" ht="15" hidden="false" customHeight="false" outlineLevel="0" collapsed="false">
      <c r="A74" s="7" t="s">
        <v>202</v>
      </c>
      <c r="B74" s="18" t="n">
        <f aca="false">COUNTIF('Feature Matrix'!C74:L74,"Y")</f>
        <v>5</v>
      </c>
      <c r="C74" s="18" t="n">
        <f aca="false">COUNTIF('Feature Matrix'!C74:L74,"P")</f>
        <v>0</v>
      </c>
      <c r="D74" s="18" t="n">
        <f aca="false">COUNTIF('Feature Matrix'!C74:L74,"N")</f>
        <v>5</v>
      </c>
      <c r="E74" s="19" t="n">
        <f aca="false">(B74+0.5*C74)/10</f>
        <v>0.5</v>
      </c>
      <c r="F74" s="18" t="str">
        <f aca="false">IF(E74&lt;0.3,"High — underserved",IF(E74&lt;=0.7,"Medium — differentiator","Low — table stakes"))</f>
        <v>Medium — differentiator</v>
      </c>
    </row>
    <row r="75" customFormat="false" ht="15" hidden="false" customHeight="false" outlineLevel="0" collapsed="false">
      <c r="A75" s="7" t="s">
        <v>203</v>
      </c>
      <c r="B75" s="18" t="n">
        <f aca="false">COUNTIF('Feature Matrix'!C75:L75,"Y")</f>
        <v>8</v>
      </c>
      <c r="C75" s="18" t="n">
        <f aca="false">COUNTIF('Feature Matrix'!C75:L75,"P")</f>
        <v>0</v>
      </c>
      <c r="D75" s="18" t="n">
        <f aca="false">COUNTIF('Feature Matrix'!C75:L75,"N")</f>
        <v>2</v>
      </c>
      <c r="E75" s="19" t="n">
        <f aca="false">(B75+0.5*C75)/10</f>
        <v>0.8</v>
      </c>
      <c r="F75" s="18" t="str">
        <f aca="false">IF(E75&lt;0.3,"High — underserved",IF(E75&lt;=0.7,"Medium — differentiator","Low — table stakes"))</f>
        <v>Low — table stakes</v>
      </c>
    </row>
    <row r="76" customFormat="false" ht="15" hidden="false" customHeight="false" outlineLevel="0" collapsed="false">
      <c r="A76" s="7" t="s">
        <v>204</v>
      </c>
      <c r="B76" s="18" t="n">
        <f aca="false">COUNTIF('Feature Matrix'!C76:L76,"Y")</f>
        <v>3</v>
      </c>
      <c r="C76" s="18" t="n">
        <f aca="false">COUNTIF('Feature Matrix'!C76:L76,"P")</f>
        <v>1</v>
      </c>
      <c r="D76" s="18" t="n">
        <f aca="false">COUNTIF('Feature Matrix'!C76:L76,"N")</f>
        <v>6</v>
      </c>
      <c r="E76" s="19" t="n">
        <f aca="false">(B76+0.5*C76)/10</f>
        <v>0.35</v>
      </c>
      <c r="F76" s="18" t="str">
        <f aca="false">IF(E76&lt;0.3,"High — underserved",IF(E76&lt;=0.7,"Medium — differentiator","Low — table stakes"))</f>
        <v>Medium — differentiator</v>
      </c>
    </row>
    <row r="77" customFormat="false" ht="15" hidden="false" customHeight="false" outlineLevel="0" collapsed="false">
      <c r="A77" s="7" t="s">
        <v>205</v>
      </c>
      <c r="B77" s="18" t="n">
        <f aca="false">COUNTIF('Feature Matrix'!C77:L77,"Y")</f>
        <v>2</v>
      </c>
      <c r="C77" s="18" t="n">
        <f aca="false">COUNTIF('Feature Matrix'!C77:L77,"P")</f>
        <v>1</v>
      </c>
      <c r="D77" s="18" t="n">
        <f aca="false">COUNTIF('Feature Matrix'!C77:L77,"N")</f>
        <v>7</v>
      </c>
      <c r="E77" s="19" t="n">
        <f aca="false">(B77+0.5*C77)/10</f>
        <v>0.25</v>
      </c>
      <c r="F77" s="18" t="str">
        <f aca="false">IF(E77&lt;0.3,"High — underserved",IF(E77&lt;=0.7,"Medium — differentiator","Low — table stakes"))</f>
        <v>High — underserved</v>
      </c>
    </row>
    <row r="78" customFormat="false" ht="15" hidden="false" customHeight="false" outlineLevel="0" collapsed="false">
      <c r="A78" s="17" t="s">
        <v>206</v>
      </c>
      <c r="B78" s="17"/>
      <c r="C78" s="17"/>
      <c r="D78" s="17"/>
      <c r="E78" s="17"/>
      <c r="F78" s="17"/>
    </row>
    <row r="79" customFormat="false" ht="15" hidden="false" customHeight="false" outlineLevel="0" collapsed="false">
      <c r="A79" s="7" t="s">
        <v>207</v>
      </c>
      <c r="B79" s="18" t="n">
        <f aca="false">COUNTIF('Feature Matrix'!C79:L79,"Y")</f>
        <v>4</v>
      </c>
      <c r="C79" s="18" t="n">
        <f aca="false">COUNTIF('Feature Matrix'!C79:L79,"P")</f>
        <v>0</v>
      </c>
      <c r="D79" s="18" t="n">
        <f aca="false">COUNTIF('Feature Matrix'!C79:L79,"N")</f>
        <v>6</v>
      </c>
      <c r="E79" s="19" t="n">
        <f aca="false">(B79+0.5*C79)/10</f>
        <v>0.4</v>
      </c>
      <c r="F79" s="18" t="str">
        <f aca="false">IF(E79&lt;0.3,"High — underserved",IF(E79&lt;=0.7,"Medium — differentiator","Low — table stakes"))</f>
        <v>Medium — differentiator</v>
      </c>
    </row>
    <row r="80" customFormat="false" ht="15" hidden="false" customHeight="false" outlineLevel="0" collapsed="false">
      <c r="A80" s="7" t="s">
        <v>208</v>
      </c>
      <c r="B80" s="18" t="n">
        <f aca="false">COUNTIF('Feature Matrix'!C80:L80,"Y")</f>
        <v>2</v>
      </c>
      <c r="C80" s="18" t="n">
        <f aca="false">COUNTIF('Feature Matrix'!C80:L80,"P")</f>
        <v>2</v>
      </c>
      <c r="D80" s="18" t="n">
        <f aca="false">COUNTIF('Feature Matrix'!C80:L80,"N")</f>
        <v>6</v>
      </c>
      <c r="E80" s="19" t="n">
        <f aca="false">(B80+0.5*C80)/10</f>
        <v>0.3</v>
      </c>
      <c r="F80" s="18" t="str">
        <f aca="false">IF(E80&lt;0.3,"High — underserved",IF(E80&lt;=0.7,"Medium — differentiator","Low — table stakes"))</f>
        <v>Medium — differentiator</v>
      </c>
    </row>
    <row r="81" customFormat="false" ht="15" hidden="false" customHeight="false" outlineLevel="0" collapsed="false">
      <c r="A81" s="7" t="s">
        <v>209</v>
      </c>
      <c r="B81" s="18" t="n">
        <f aca="false">COUNTIF('Feature Matrix'!C81:L81,"Y")</f>
        <v>3</v>
      </c>
      <c r="C81" s="18" t="n">
        <f aca="false">COUNTIF('Feature Matrix'!C81:L81,"P")</f>
        <v>1</v>
      </c>
      <c r="D81" s="18" t="n">
        <f aca="false">COUNTIF('Feature Matrix'!C81:L81,"N")</f>
        <v>6</v>
      </c>
      <c r="E81" s="19" t="n">
        <f aca="false">(B81+0.5*C81)/10</f>
        <v>0.35</v>
      </c>
      <c r="F81" s="18" t="str">
        <f aca="false">IF(E81&lt;0.3,"High — underserved",IF(E81&lt;=0.7,"Medium — differentiator","Low — table stakes"))</f>
        <v>Medium — differentiator</v>
      </c>
    </row>
    <row r="82" customFormat="false" ht="15" hidden="false" customHeight="false" outlineLevel="0" collapsed="false">
      <c r="A82" s="7" t="s">
        <v>210</v>
      </c>
      <c r="B82" s="18" t="n">
        <f aca="false">COUNTIF('Feature Matrix'!C82:L82,"Y")</f>
        <v>2</v>
      </c>
      <c r="C82" s="18" t="n">
        <f aca="false">COUNTIF('Feature Matrix'!C82:L82,"P")</f>
        <v>2</v>
      </c>
      <c r="D82" s="18" t="n">
        <f aca="false">COUNTIF('Feature Matrix'!C82:L82,"N")</f>
        <v>6</v>
      </c>
      <c r="E82" s="19" t="n">
        <f aca="false">(B82+0.5*C82)/10</f>
        <v>0.3</v>
      </c>
      <c r="F82" s="18" t="str">
        <f aca="false">IF(E82&lt;0.3,"High — underserved",IF(E82&lt;=0.7,"Medium — differentiator","Low — table stakes"))</f>
        <v>Medium — differentiator</v>
      </c>
    </row>
    <row r="83" customFormat="false" ht="15" hidden="false" customHeight="false" outlineLevel="0" collapsed="false">
      <c r="A83" s="7" t="s">
        <v>211</v>
      </c>
      <c r="B83" s="18" t="n">
        <f aca="false">COUNTIF('Feature Matrix'!C83:L83,"Y")</f>
        <v>3</v>
      </c>
      <c r="C83" s="18" t="n">
        <f aca="false">COUNTIF('Feature Matrix'!C83:L83,"P")</f>
        <v>2</v>
      </c>
      <c r="D83" s="18" t="n">
        <f aca="false">COUNTIF('Feature Matrix'!C83:L83,"N")</f>
        <v>5</v>
      </c>
      <c r="E83" s="19" t="n">
        <f aca="false">(B83+0.5*C83)/10</f>
        <v>0.4</v>
      </c>
      <c r="F83" s="18" t="str">
        <f aca="false">IF(E83&lt;0.3,"High — underserved",IF(E83&lt;=0.7,"Medium — differentiator","Low — table stakes"))</f>
        <v>Medium — differentiator</v>
      </c>
    </row>
    <row r="84" customFormat="false" ht="15" hidden="false" customHeight="false" outlineLevel="0" collapsed="false">
      <c r="A84" s="17" t="s">
        <v>212</v>
      </c>
      <c r="B84" s="17"/>
      <c r="C84" s="17"/>
      <c r="D84" s="17"/>
      <c r="E84" s="17"/>
      <c r="F84" s="17"/>
    </row>
    <row r="85" customFormat="false" ht="15" hidden="false" customHeight="false" outlineLevel="0" collapsed="false">
      <c r="A85" s="7" t="s">
        <v>213</v>
      </c>
      <c r="B85" s="18" t="n">
        <f aca="false">COUNTIF('Feature Matrix'!C85:L85,"Y")</f>
        <v>1</v>
      </c>
      <c r="C85" s="18" t="n">
        <f aca="false">COUNTIF('Feature Matrix'!C85:L85,"P")</f>
        <v>1</v>
      </c>
      <c r="D85" s="18" t="n">
        <f aca="false">COUNTIF('Feature Matrix'!C85:L85,"N")</f>
        <v>8</v>
      </c>
      <c r="E85" s="19" t="n">
        <f aca="false">(B85+0.5*C85)/10</f>
        <v>0.15</v>
      </c>
      <c r="F85" s="18" t="str">
        <f aca="false">IF(E85&lt;0.3,"High — underserved",IF(E85&lt;=0.7,"Medium — differentiator","Low — table stakes"))</f>
        <v>High — underserved</v>
      </c>
    </row>
    <row r="86" customFormat="false" ht="15" hidden="false" customHeight="false" outlineLevel="0" collapsed="false">
      <c r="A86" s="7" t="s">
        <v>214</v>
      </c>
      <c r="B86" s="18" t="n">
        <f aca="false">COUNTIF('Feature Matrix'!C86:L86,"Y")</f>
        <v>1</v>
      </c>
      <c r="C86" s="18" t="n">
        <f aca="false">COUNTIF('Feature Matrix'!C86:L86,"P")</f>
        <v>1</v>
      </c>
      <c r="D86" s="18" t="n">
        <f aca="false">COUNTIF('Feature Matrix'!C86:L86,"N")</f>
        <v>8</v>
      </c>
      <c r="E86" s="19" t="n">
        <f aca="false">(B86+0.5*C86)/10</f>
        <v>0.15</v>
      </c>
      <c r="F86" s="18" t="str">
        <f aca="false">IF(E86&lt;0.3,"High — underserved",IF(E86&lt;=0.7,"Medium — differentiator","Low — table stakes"))</f>
        <v>High — underserved</v>
      </c>
    </row>
    <row r="87" customFormat="false" ht="15" hidden="false" customHeight="false" outlineLevel="0" collapsed="false">
      <c r="A87" s="7" t="s">
        <v>215</v>
      </c>
      <c r="B87" s="18" t="n">
        <f aca="false">COUNTIF('Feature Matrix'!C87:L87,"Y")</f>
        <v>1</v>
      </c>
      <c r="C87" s="18" t="n">
        <f aca="false">COUNTIF('Feature Matrix'!C87:L87,"P")</f>
        <v>0</v>
      </c>
      <c r="D87" s="18" t="n">
        <f aca="false">COUNTIF('Feature Matrix'!C87:L87,"N")</f>
        <v>9</v>
      </c>
      <c r="E87" s="19" t="n">
        <f aca="false">(B87+0.5*C87)/10</f>
        <v>0.1</v>
      </c>
      <c r="F87" s="18" t="str">
        <f aca="false">IF(E87&lt;0.3,"High — underserved",IF(E87&lt;=0.7,"Medium — differentiator","Low — table stakes"))</f>
        <v>High — underserved</v>
      </c>
    </row>
    <row r="88" customFormat="false" ht="15" hidden="false" customHeight="false" outlineLevel="0" collapsed="false">
      <c r="A88" s="7" t="s">
        <v>216</v>
      </c>
      <c r="B88" s="18" t="n">
        <f aca="false">COUNTIF('Feature Matrix'!C88:L88,"Y")</f>
        <v>2</v>
      </c>
      <c r="C88" s="18" t="n">
        <f aca="false">COUNTIF('Feature Matrix'!C88:L88,"P")</f>
        <v>2</v>
      </c>
      <c r="D88" s="18" t="n">
        <f aca="false">COUNTIF('Feature Matrix'!C88:L88,"N")</f>
        <v>6</v>
      </c>
      <c r="E88" s="19" t="n">
        <f aca="false">(B88+0.5*C88)/10</f>
        <v>0.3</v>
      </c>
      <c r="F88" s="18" t="str">
        <f aca="false">IF(E88&lt;0.3,"High — underserved",IF(E88&lt;=0.7,"Medium — differentiator","Low — table stakes"))</f>
        <v>Medium — differentiator</v>
      </c>
    </row>
    <row r="89" customFormat="false" ht="15" hidden="false" customHeight="false" outlineLevel="0" collapsed="false">
      <c r="A89" s="17" t="s">
        <v>217</v>
      </c>
      <c r="B89" s="17"/>
      <c r="C89" s="17"/>
      <c r="D89" s="17"/>
      <c r="E89" s="17"/>
      <c r="F89" s="17"/>
    </row>
    <row r="90" customFormat="false" ht="15" hidden="false" customHeight="false" outlineLevel="0" collapsed="false">
      <c r="A90" s="7" t="s">
        <v>218</v>
      </c>
      <c r="B90" s="18" t="n">
        <f aca="false">COUNTIF('Feature Matrix'!C90:L90,"Y")</f>
        <v>9</v>
      </c>
      <c r="C90" s="18" t="n">
        <f aca="false">COUNTIF('Feature Matrix'!C90:L90,"P")</f>
        <v>0</v>
      </c>
      <c r="D90" s="18" t="n">
        <f aca="false">COUNTIF('Feature Matrix'!C90:L90,"N")</f>
        <v>1</v>
      </c>
      <c r="E90" s="19" t="n">
        <f aca="false">(B90+0.5*C90)/10</f>
        <v>0.9</v>
      </c>
      <c r="F90" s="18" t="str">
        <f aca="false">IF(E90&lt;0.3,"High — underserved",IF(E90&lt;=0.7,"Medium — differentiator","Low — table stakes"))</f>
        <v>Low — table stakes</v>
      </c>
    </row>
    <row r="91" customFormat="false" ht="15" hidden="false" customHeight="false" outlineLevel="0" collapsed="false">
      <c r="A91" s="7" t="s">
        <v>219</v>
      </c>
      <c r="B91" s="18" t="n">
        <f aca="false">COUNTIF('Feature Matrix'!C91:L91,"Y")</f>
        <v>9</v>
      </c>
      <c r="C91" s="18" t="n">
        <f aca="false">COUNTIF('Feature Matrix'!C91:L91,"P")</f>
        <v>0</v>
      </c>
      <c r="D91" s="18" t="n">
        <f aca="false">COUNTIF('Feature Matrix'!C91:L91,"N")</f>
        <v>1</v>
      </c>
      <c r="E91" s="19" t="n">
        <f aca="false">(B91+0.5*C91)/10</f>
        <v>0.9</v>
      </c>
      <c r="F91" s="18" t="str">
        <f aca="false">IF(E91&lt;0.3,"High — underserved",IF(E91&lt;=0.7,"Medium — differentiator","Low — table stakes"))</f>
        <v>Low — table stakes</v>
      </c>
    </row>
    <row r="92" customFormat="false" ht="15" hidden="false" customHeight="false" outlineLevel="0" collapsed="false">
      <c r="A92" s="7" t="s">
        <v>220</v>
      </c>
      <c r="B92" s="18" t="n">
        <f aca="false">COUNTIF('Feature Matrix'!C92:L92,"Y")</f>
        <v>3</v>
      </c>
      <c r="C92" s="18" t="n">
        <f aca="false">COUNTIF('Feature Matrix'!C92:L92,"P")</f>
        <v>2</v>
      </c>
      <c r="D92" s="18" t="n">
        <f aca="false">COUNTIF('Feature Matrix'!C92:L92,"N")</f>
        <v>5</v>
      </c>
      <c r="E92" s="19" t="n">
        <f aca="false">(B92+0.5*C92)/10</f>
        <v>0.4</v>
      </c>
      <c r="F92" s="18" t="str">
        <f aca="false">IF(E92&lt;0.3,"High — underserved",IF(E92&lt;=0.7,"Medium — differentiator","Low — table stakes"))</f>
        <v>Medium — differentiator</v>
      </c>
    </row>
    <row r="93" customFormat="false" ht="15" hidden="false" customHeight="false" outlineLevel="0" collapsed="false">
      <c r="A93" s="7" t="s">
        <v>221</v>
      </c>
      <c r="B93" s="18" t="n">
        <f aca="false">COUNTIF('Feature Matrix'!C93:L93,"Y")</f>
        <v>8</v>
      </c>
      <c r="C93" s="18" t="n">
        <f aca="false">COUNTIF('Feature Matrix'!C93:L93,"P")</f>
        <v>2</v>
      </c>
      <c r="D93" s="18" t="n">
        <f aca="false">COUNTIF('Feature Matrix'!C93:L93,"N")</f>
        <v>0</v>
      </c>
      <c r="E93" s="19" t="n">
        <f aca="false">(B93+0.5*C93)/10</f>
        <v>0.9</v>
      </c>
      <c r="F93" s="18" t="str">
        <f aca="false">IF(E93&lt;0.3,"High — underserved",IF(E93&lt;=0.7,"Medium — differentiator","Low — table stakes"))</f>
        <v>Low — table stakes</v>
      </c>
    </row>
    <row r="94" customFormat="false" ht="15" hidden="false" customHeight="false" outlineLevel="0" collapsed="false">
      <c r="A94" s="7" t="s">
        <v>222</v>
      </c>
      <c r="B94" s="18" t="n">
        <f aca="false">COUNTIF('Feature Matrix'!C94:L94,"Y")</f>
        <v>2</v>
      </c>
      <c r="C94" s="18" t="n">
        <f aca="false">COUNTIF('Feature Matrix'!C94:L94,"P")</f>
        <v>0</v>
      </c>
      <c r="D94" s="18" t="n">
        <f aca="false">COUNTIF('Feature Matrix'!C94:L94,"N")</f>
        <v>8</v>
      </c>
      <c r="E94" s="19" t="n">
        <f aca="false">(B94+0.5*C94)/10</f>
        <v>0.2</v>
      </c>
      <c r="F94" s="18" t="str">
        <f aca="false">IF(E94&lt;0.3,"High — underserved",IF(E94&lt;=0.7,"Medium — differentiator","Low — table stakes"))</f>
        <v>High — underserved</v>
      </c>
    </row>
    <row r="95" customFormat="false" ht="15" hidden="false" customHeight="false" outlineLevel="0" collapsed="false">
      <c r="A95" s="17" t="s">
        <v>223</v>
      </c>
      <c r="B95" s="17"/>
      <c r="C95" s="17"/>
      <c r="D95" s="17"/>
      <c r="E95" s="17"/>
      <c r="F95" s="17"/>
    </row>
    <row r="96" customFormat="false" ht="15" hidden="false" customHeight="false" outlineLevel="0" collapsed="false">
      <c r="A96" s="7" t="s">
        <v>224</v>
      </c>
      <c r="B96" s="18" t="n">
        <f aca="false">COUNTIF('Feature Matrix'!C96:L96,"Y")</f>
        <v>1</v>
      </c>
      <c r="C96" s="18" t="n">
        <f aca="false">COUNTIF('Feature Matrix'!C96:L96,"P")</f>
        <v>2</v>
      </c>
      <c r="D96" s="18" t="n">
        <f aca="false">COUNTIF('Feature Matrix'!C96:L96,"N")</f>
        <v>7</v>
      </c>
      <c r="E96" s="19" t="n">
        <f aca="false">(B96+0.5*C96)/10</f>
        <v>0.2</v>
      </c>
      <c r="F96" s="18" t="str">
        <f aca="false">IF(E96&lt;0.3,"High — underserved",IF(E96&lt;=0.7,"Medium — differentiator","Low — table stakes"))</f>
        <v>High — underserved</v>
      </c>
    </row>
    <row r="97" customFormat="false" ht="15" hidden="false" customHeight="false" outlineLevel="0" collapsed="false">
      <c r="A97" s="7" t="s">
        <v>225</v>
      </c>
      <c r="B97" s="18" t="n">
        <f aca="false">COUNTIF('Feature Matrix'!C97:L97,"Y")</f>
        <v>0</v>
      </c>
      <c r="C97" s="18" t="n">
        <f aca="false">COUNTIF('Feature Matrix'!C97:L97,"P")</f>
        <v>1</v>
      </c>
      <c r="D97" s="18" t="n">
        <f aca="false">COUNTIF('Feature Matrix'!C97:L97,"N")</f>
        <v>9</v>
      </c>
      <c r="E97" s="19" t="n">
        <f aca="false">(B97+0.5*C97)/10</f>
        <v>0.05</v>
      </c>
      <c r="F97" s="18" t="str">
        <f aca="false">IF(E97&lt;0.3,"High — underserved",IF(E97&lt;=0.7,"Medium — differentiator","Low — table stakes"))</f>
        <v>High — underserved</v>
      </c>
    </row>
    <row r="98" customFormat="false" ht="15" hidden="false" customHeight="false" outlineLevel="0" collapsed="false">
      <c r="A98" s="7" t="s">
        <v>226</v>
      </c>
      <c r="B98" s="18" t="n">
        <f aca="false">COUNTIF('Feature Matrix'!C98:L98,"Y")</f>
        <v>2</v>
      </c>
      <c r="C98" s="18" t="n">
        <f aca="false">COUNTIF('Feature Matrix'!C98:L98,"P")</f>
        <v>1</v>
      </c>
      <c r="D98" s="18" t="n">
        <f aca="false">COUNTIF('Feature Matrix'!C98:L98,"N")</f>
        <v>7</v>
      </c>
      <c r="E98" s="19" t="n">
        <f aca="false">(B98+0.5*C98)/10</f>
        <v>0.25</v>
      </c>
      <c r="F98" s="18" t="str">
        <f aca="false">IF(E98&lt;0.3,"High — underserved",IF(E98&lt;=0.7,"Medium — differentiator","Low — table stakes"))</f>
        <v>High — underserved</v>
      </c>
    </row>
  </sheetData>
  <mergeCells count="14">
    <mergeCell ref="A2:F2"/>
    <mergeCell ref="A13:F13"/>
    <mergeCell ref="A22:F22"/>
    <mergeCell ref="A29:F29"/>
    <mergeCell ref="A35:F35"/>
    <mergeCell ref="A42:F42"/>
    <mergeCell ref="A48:F48"/>
    <mergeCell ref="A60:F60"/>
    <mergeCell ref="A66:F66"/>
    <mergeCell ref="A73:F73"/>
    <mergeCell ref="A78:F78"/>
    <mergeCell ref="A84:F84"/>
    <mergeCell ref="A89:F89"/>
    <mergeCell ref="A95:F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42"/>
    <col collapsed="false" customWidth="true" hidden="false" outlineLevel="0" max="4" min="4" style="0" width="32"/>
    <col collapsed="false" customWidth="true" hidden="false" outlineLevel="0" max="5" min="5" style="0" width="42"/>
  </cols>
  <sheetData>
    <row r="1" customFormat="false" ht="31.5" hidden="false" customHeight="true" outlineLevel="0" collapsed="false">
      <c r="A1" s="5" t="s">
        <v>237</v>
      </c>
      <c r="B1" s="5" t="s">
        <v>238</v>
      </c>
      <c r="C1" s="5" t="s">
        <v>239</v>
      </c>
      <c r="D1" s="5" t="s">
        <v>240</v>
      </c>
      <c r="E1" s="5" t="s">
        <v>241</v>
      </c>
    </row>
    <row r="2" customFormat="false" ht="49.5" hidden="false" customHeight="true" outlineLevel="0" collapsed="false">
      <c r="A2" s="20" t="s">
        <v>242</v>
      </c>
      <c r="B2" s="20" t="s">
        <v>243</v>
      </c>
      <c r="C2" s="20" t="s">
        <v>244</v>
      </c>
      <c r="D2" s="20" t="s">
        <v>245</v>
      </c>
      <c r="E2" s="20" t="s">
        <v>246</v>
      </c>
    </row>
    <row r="3" customFormat="false" ht="49.5" hidden="false" customHeight="true" outlineLevel="0" collapsed="false">
      <c r="A3" s="20" t="s">
        <v>247</v>
      </c>
      <c r="B3" s="20" t="s">
        <v>248</v>
      </c>
      <c r="C3" s="20" t="s">
        <v>249</v>
      </c>
      <c r="D3" s="20" t="s">
        <v>250</v>
      </c>
      <c r="E3" s="20" t="s">
        <v>251</v>
      </c>
    </row>
    <row r="4" customFormat="false" ht="49.5" hidden="false" customHeight="true" outlineLevel="0" collapsed="false">
      <c r="A4" s="20" t="s">
        <v>252</v>
      </c>
      <c r="B4" s="20" t="s">
        <v>253</v>
      </c>
      <c r="C4" s="20" t="s">
        <v>254</v>
      </c>
      <c r="D4" s="20" t="s">
        <v>255</v>
      </c>
      <c r="E4" s="20" t="s">
        <v>256</v>
      </c>
    </row>
    <row r="5" customFormat="false" ht="49.5" hidden="false" customHeight="true" outlineLevel="0" collapsed="false">
      <c r="A5" s="20" t="s">
        <v>257</v>
      </c>
      <c r="B5" s="20" t="s">
        <v>258</v>
      </c>
      <c r="C5" s="20" t="s">
        <v>259</v>
      </c>
      <c r="D5" s="20" t="s">
        <v>260</v>
      </c>
      <c r="E5" s="20" t="s">
        <v>261</v>
      </c>
    </row>
    <row r="6" customFormat="false" ht="49.5" hidden="false" customHeight="true" outlineLevel="0" collapsed="false">
      <c r="A6" s="20" t="s">
        <v>262</v>
      </c>
      <c r="B6" s="20" t="s">
        <v>263</v>
      </c>
      <c r="C6" s="20" t="s">
        <v>264</v>
      </c>
      <c r="D6" s="20" t="s">
        <v>265</v>
      </c>
      <c r="E6" s="20" t="s">
        <v>266</v>
      </c>
    </row>
    <row r="7" customFormat="false" ht="49.5" hidden="false" customHeight="true" outlineLevel="0" collapsed="false">
      <c r="A7" s="20" t="s">
        <v>267</v>
      </c>
      <c r="B7" s="20" t="s">
        <v>125</v>
      </c>
      <c r="C7" s="20" t="s">
        <v>268</v>
      </c>
      <c r="D7" s="20" t="s">
        <v>269</v>
      </c>
      <c r="E7" s="20" t="s">
        <v>270</v>
      </c>
    </row>
    <row r="8" customFormat="false" ht="49.5" hidden="false" customHeight="true" outlineLevel="0" collapsed="false">
      <c r="A8" s="20"/>
      <c r="B8" s="20"/>
      <c r="C8" s="20"/>
      <c r="D8" s="20"/>
      <c r="E8" s="20"/>
    </row>
    <row r="9" customFormat="false" ht="49.5" hidden="false" customHeight="true" outlineLevel="0" collapsed="false">
      <c r="A9" s="21" t="s">
        <v>271</v>
      </c>
      <c r="B9" s="21"/>
      <c r="C9" s="21"/>
      <c r="D9" s="21"/>
      <c r="E9" s="21"/>
    </row>
    <row r="10" customFormat="false" ht="49.5" hidden="false" customHeight="true" outlineLevel="0" collapsed="false">
      <c r="A10" s="20" t="s">
        <v>272</v>
      </c>
      <c r="B10" s="20" t="s">
        <v>273</v>
      </c>
      <c r="C10" s="20"/>
      <c r="D10" s="20"/>
      <c r="E10" s="20"/>
    </row>
    <row r="11" customFormat="false" ht="49.5" hidden="false" customHeight="true" outlineLevel="0" collapsed="false">
      <c r="A11" s="20" t="s">
        <v>274</v>
      </c>
      <c r="B11" s="20" t="s">
        <v>275</v>
      </c>
      <c r="C11" s="20"/>
      <c r="D11" s="20"/>
      <c r="E11" s="20"/>
    </row>
    <row r="12" customFormat="false" ht="49.5" hidden="false" customHeight="true" outlineLevel="0" collapsed="false">
      <c r="A12" s="20" t="s">
        <v>276</v>
      </c>
      <c r="B12" s="20" t="s">
        <v>277</v>
      </c>
      <c r="C12" s="20"/>
      <c r="D12" s="20"/>
      <c r="E12" s="20"/>
    </row>
    <row r="13" customFormat="false" ht="49.5" hidden="false" customHeight="true" outlineLevel="0" collapsed="false">
      <c r="A13" s="20"/>
      <c r="B13" s="20"/>
      <c r="C13" s="20"/>
      <c r="D13" s="20"/>
      <c r="E13" s="20"/>
    </row>
    <row r="14" customFormat="false" ht="49.5" hidden="false" customHeight="true" outlineLevel="0" collapsed="false">
      <c r="A14" s="21" t="s">
        <v>278</v>
      </c>
      <c r="B14" s="21"/>
      <c r="C14" s="21"/>
      <c r="D14" s="21"/>
      <c r="E14" s="21"/>
    </row>
    <row r="15" customFormat="false" ht="49.5" hidden="false" customHeight="true" outlineLevel="0" collapsed="false">
      <c r="A15" s="20" t="s">
        <v>279</v>
      </c>
      <c r="B15" s="20" t="s">
        <v>280</v>
      </c>
      <c r="C15" s="20"/>
      <c r="D15" s="20"/>
      <c r="E15" s="20"/>
    </row>
    <row r="16" customFormat="false" ht="49.5" hidden="false" customHeight="true" outlineLevel="0" collapsed="false">
      <c r="A16" s="20" t="s">
        <v>281</v>
      </c>
      <c r="B16" s="20" t="s">
        <v>282</v>
      </c>
      <c r="C16" s="20"/>
      <c r="D16" s="20"/>
      <c r="E16" s="20"/>
    </row>
    <row r="17" customFormat="false" ht="49.5" hidden="false" customHeight="true" outlineLevel="0" collapsed="false">
      <c r="A17" s="20" t="s">
        <v>283</v>
      </c>
      <c r="B17" s="20" t="s">
        <v>284</v>
      </c>
      <c r="C17" s="20"/>
      <c r="D17" s="20"/>
      <c r="E17" s="20"/>
    </row>
    <row r="18" customFormat="false" ht="49.5" hidden="false" customHeight="true" outlineLevel="0" collapsed="false">
      <c r="A18" s="20" t="s">
        <v>285</v>
      </c>
      <c r="B18" s="20" t="s">
        <v>286</v>
      </c>
      <c r="C18" s="20"/>
      <c r="D18" s="20"/>
      <c r="E18" s="20"/>
    </row>
    <row r="19" customFormat="false" ht="49.5" hidden="false" customHeight="true" outlineLevel="0" collapsed="false">
      <c r="A19" s="20" t="s">
        <v>287</v>
      </c>
      <c r="B19" s="20" t="s">
        <v>288</v>
      </c>
      <c r="C19" s="20"/>
      <c r="D19" s="20"/>
      <c r="E19" s="20"/>
    </row>
    <row r="20" customFormat="false" ht="49.5" hidden="false" customHeight="true" outlineLevel="0" collapsed="false">
      <c r="A20" s="20" t="s">
        <v>289</v>
      </c>
      <c r="B20" s="20" t="s">
        <v>290</v>
      </c>
      <c r="C20" s="20"/>
      <c r="D20" s="20"/>
      <c r="E20" s="20"/>
    </row>
    <row r="21" customFormat="false" ht="49.5" hidden="false" customHeight="true" outlineLevel="0" collapsed="false">
      <c r="A21" s="20" t="s">
        <v>291</v>
      </c>
      <c r="B21" s="20" t="s">
        <v>292</v>
      </c>
      <c r="C21" s="20"/>
      <c r="D21" s="20"/>
      <c r="E21"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2026-04-18T04:05:36Z</dcterms:created>
  <dc:creator>openpyxl</dc:creator>
  <dc:description/>
  <dc:language>en-US</dc:language>
  <cp:lastModifiedBy/>
  <dcterms:modified xsi:type="dcterms:W3CDTF">2026-04-18T04:05:36Z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